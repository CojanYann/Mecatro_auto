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jan\OneDrive\Documents\Yann\COURS_ECOLE\ICAM\2024-2025\Mécatro\Gantt_Mecatro\"/>
    </mc:Choice>
  </mc:AlternateContent>
  <xr:revisionPtr revIDLastSave="0" documentId="13_ncr:1_{38246E31-2494-4A34-8AC3-A23A78F40346}" xr6:coauthVersionLast="47" xr6:coauthVersionMax="47" xr10:uidLastSave="{00000000-0000-0000-0000-000000000000}"/>
  <bookViews>
    <workbookView xWindow="-120" yWindow="-120" windowWidth="24240" windowHeight="13140" xr2:uid="{51C4A844-86E1-494C-AF45-73D3C647F81B}"/>
  </bookViews>
  <sheets>
    <sheet name="Gantt" sheetId="1" r:id="rId1"/>
    <sheet name="Parametre Gantt" sheetId="2" r:id="rId2"/>
  </sheets>
  <externalReferences>
    <externalReference r:id="rId3"/>
    <externalReference r:id="rId4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1" l="1"/>
  <c r="O29" i="1"/>
  <c r="O14" i="1" l="1"/>
  <c r="O21" i="1"/>
  <c r="O22" i="1"/>
  <c r="O30" i="1"/>
  <c r="O31" i="1"/>
  <c r="O33" i="1"/>
  <c r="D49" i="1"/>
  <c r="D50" i="1"/>
  <c r="D51" i="1"/>
  <c r="D52" i="1"/>
  <c r="D53" i="1"/>
  <c r="D54" i="1"/>
  <c r="D55" i="1"/>
  <c r="D56" i="1"/>
  <c r="D5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14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0" i="1"/>
  <c r="F31" i="1"/>
  <c r="F32" i="1"/>
  <c r="F14" i="1"/>
  <c r="K25" i="1"/>
  <c r="O25" i="1"/>
  <c r="A6" i="2"/>
  <c r="A3" i="2"/>
  <c r="A4" i="2"/>
  <c r="A5" i="2"/>
  <c r="O15" i="1"/>
  <c r="O16" i="1"/>
  <c r="O17" i="1"/>
  <c r="O18" i="1"/>
  <c r="O19" i="1"/>
  <c r="O23" i="1"/>
  <c r="O24" i="1"/>
  <c r="O26" i="1"/>
  <c r="O27" i="1"/>
  <c r="O28" i="1"/>
  <c r="O32" i="1"/>
  <c r="O34" i="1"/>
  <c r="O35" i="1"/>
  <c r="O53" i="1"/>
  <c r="O55" i="1"/>
  <c r="O56" i="1"/>
  <c r="O57" i="1"/>
  <c r="O20" i="1"/>
  <c r="K14" i="1"/>
  <c r="K15" i="1"/>
  <c r="K16" i="1"/>
  <c r="K17" i="1"/>
  <c r="K18" i="1"/>
  <c r="K19" i="1"/>
  <c r="K21" i="1"/>
  <c r="K22" i="1"/>
  <c r="K23" i="1"/>
  <c r="K24" i="1"/>
  <c r="K26" i="1"/>
  <c r="K27" i="1"/>
  <c r="K28" i="1"/>
  <c r="K32" i="1"/>
  <c r="K35" i="1"/>
  <c r="K53" i="1"/>
  <c r="K55" i="1"/>
  <c r="K56" i="1"/>
  <c r="K57" i="1"/>
  <c r="K20" i="1"/>
  <c r="N58" i="1"/>
  <c r="H8" i="1"/>
  <c r="BS6" i="1"/>
  <c r="CC10" i="1" l="1" a="1"/>
  <c r="CC10" i="1" s="1"/>
  <c r="CD10" i="1"/>
  <c r="CC11" i="1" a="1"/>
  <c r="CC11" i="1" s="1"/>
  <c r="CD11" i="1"/>
  <c r="CC12" i="1" a="1"/>
  <c r="CC12" i="1" s="1"/>
  <c r="CD12" i="1"/>
  <c r="CC13" i="1" a="1"/>
  <c r="CC13" i="1" s="1"/>
  <c r="CD13" i="1"/>
  <c r="CC14" i="1" a="1"/>
  <c r="CC14" i="1" s="1"/>
  <c r="CD14" i="1"/>
  <c r="CC15" i="1" a="1"/>
  <c r="CC15" i="1" s="1"/>
  <c r="CD15" i="1"/>
  <c r="CC16" i="1" a="1"/>
  <c r="CC16" i="1" s="1"/>
  <c r="CD16" i="1"/>
  <c r="CC17" i="1" a="1"/>
  <c r="CC17" i="1" s="1"/>
  <c r="CD17" i="1"/>
  <c r="K30" i="1" l="1"/>
  <c r="Q9" i="1"/>
  <c r="Q58" i="1" s="1"/>
  <c r="K31" i="1" l="1"/>
  <c r="O58" i="1"/>
  <c r="CC18" i="1"/>
  <c r="CC19" i="1"/>
  <c r="R9" i="1"/>
  <c r="R58" i="1" s="1"/>
  <c r="CC20" i="1"/>
  <c r="CC21" i="1"/>
  <c r="CC22" i="1"/>
  <c r="CC24" i="1"/>
  <c r="CC26" i="1"/>
  <c r="Q13" i="1"/>
  <c r="Q12" i="1"/>
  <c r="Q8" i="1" s="1"/>
  <c r="S9" i="1" l="1"/>
  <c r="S58" i="1" s="1"/>
  <c r="CC27" i="1"/>
  <c r="R12" i="1"/>
  <c r="S12" i="1" l="1"/>
  <c r="T9" i="1"/>
  <c r="T58" i="1" s="1"/>
  <c r="CC31" i="1"/>
  <c r="K33" i="1" l="1"/>
  <c r="U9" i="1"/>
  <c r="U58" i="1" s="1"/>
  <c r="T12" i="1"/>
  <c r="K34" i="1"/>
  <c r="K58" i="1" s="1"/>
  <c r="CC30" i="1"/>
  <c r="V9" i="1" l="1"/>
  <c r="V58" i="1" s="1"/>
  <c r="U12" i="1"/>
  <c r="W9" i="1" l="1"/>
  <c r="W58" i="1" s="1"/>
  <c r="V12" i="1"/>
  <c r="V8" i="1" s="1"/>
  <c r="V13" i="1"/>
  <c r="X9" i="1" l="1"/>
  <c r="X58" i="1" s="1"/>
  <c r="W12" i="1"/>
  <c r="Y9" i="1" l="1"/>
  <c r="Y58" i="1" s="1"/>
  <c r="X12" i="1"/>
  <c r="Z9" i="1" l="1"/>
  <c r="Z58" i="1" s="1"/>
  <c r="Y12" i="1"/>
  <c r="AA9" i="1" l="1"/>
  <c r="AA58" i="1" s="1"/>
  <c r="Z12" i="1"/>
  <c r="AB9" i="1" l="1"/>
  <c r="AB58" i="1" s="1"/>
  <c r="AA12" i="1"/>
  <c r="AA8" i="1" s="1"/>
  <c r="AA13" i="1"/>
  <c r="AC9" i="1" l="1"/>
  <c r="AC58" i="1" s="1"/>
  <c r="AB12" i="1"/>
  <c r="AD9" i="1" l="1"/>
  <c r="AD58" i="1" s="1"/>
  <c r="AC12" i="1"/>
  <c r="AE9" i="1" l="1"/>
  <c r="AE58" i="1" s="1"/>
  <c r="AD12" i="1"/>
  <c r="AF9" i="1" l="1"/>
  <c r="AF58" i="1" s="1"/>
  <c r="AE12" i="1"/>
  <c r="AG9" i="1" l="1"/>
  <c r="AG58" i="1" s="1"/>
  <c r="AF13" i="1"/>
  <c r="AF12" i="1"/>
  <c r="AF8" i="1" s="1"/>
  <c r="AH9" i="1" l="1"/>
  <c r="AH58" i="1" s="1"/>
  <c r="AG12" i="1"/>
  <c r="AI9" i="1" l="1"/>
  <c r="AI58" i="1" s="1"/>
  <c r="AH12" i="1"/>
  <c r="AJ9" i="1" l="1"/>
  <c r="AJ58" i="1" s="1"/>
  <c r="AI12" i="1"/>
  <c r="AK9" i="1" l="1"/>
  <c r="AK58" i="1" s="1"/>
  <c r="AJ12" i="1"/>
  <c r="AK13" i="1" l="1"/>
  <c r="AK12" i="1"/>
  <c r="AK8" i="1" s="1"/>
  <c r="AL9" i="1"/>
  <c r="AL58" i="1" s="1"/>
  <c r="AM9" i="1" l="1"/>
  <c r="AM58" i="1" s="1"/>
  <c r="AL12" i="1"/>
  <c r="AN9" i="1" l="1"/>
  <c r="AN58" i="1" s="1"/>
  <c r="AM12" i="1"/>
  <c r="AO9" i="1" l="1"/>
  <c r="AO58" i="1" s="1"/>
  <c r="AN12" i="1"/>
  <c r="AP9" i="1" l="1"/>
  <c r="AP58" i="1" s="1"/>
  <c r="AO12" i="1"/>
  <c r="AQ9" i="1" l="1"/>
  <c r="AQ58" i="1" s="1"/>
  <c r="AP13" i="1"/>
  <c r="AP12" i="1"/>
  <c r="AP8" i="1" s="1"/>
  <c r="AR9" i="1" l="1"/>
  <c r="AR58" i="1" s="1"/>
  <c r="AQ12" i="1"/>
  <c r="AS9" i="1" l="1"/>
  <c r="AS58" i="1" s="1"/>
  <c r="AR12" i="1"/>
  <c r="AT9" i="1" l="1"/>
  <c r="AS12" i="1"/>
  <c r="AU9" i="1" l="1"/>
  <c r="AU58" i="1" s="1"/>
  <c r="AT58" i="1"/>
  <c r="AT12" i="1"/>
  <c r="AV9" i="1" l="1"/>
  <c r="AV58" i="1" s="1"/>
  <c r="AU12" i="1"/>
  <c r="AU8" i="1" s="1"/>
  <c r="AU13" i="1"/>
  <c r="AW9" i="1" l="1"/>
  <c r="AW58" i="1" s="1"/>
  <c r="AV12" i="1"/>
  <c r="AX9" i="1" l="1"/>
  <c r="AX58" i="1" s="1"/>
  <c r="AW12" i="1"/>
  <c r="AY9" i="1" l="1"/>
  <c r="AY58" i="1" s="1"/>
  <c r="AX12" i="1"/>
  <c r="AZ9" i="1" l="1"/>
  <c r="AZ58" i="1" s="1"/>
  <c r="AY12" i="1"/>
  <c r="BA9" i="1" l="1"/>
  <c r="BA58" i="1" s="1"/>
  <c r="AZ12" i="1"/>
  <c r="AZ8" i="1" s="1"/>
  <c r="AZ13" i="1"/>
  <c r="BB9" i="1" l="1"/>
  <c r="BB58" i="1" s="1"/>
  <c r="BA12" i="1"/>
  <c r="BC9" i="1" l="1"/>
  <c r="BC58" i="1" s="1"/>
  <c r="BB12" i="1"/>
  <c r="BD9" i="1" l="1"/>
  <c r="BD58" i="1" s="1"/>
  <c r="BC12" i="1"/>
  <c r="BD12" i="1" l="1"/>
  <c r="BE9" i="1"/>
  <c r="BE58" i="1" s="1"/>
  <c r="BF9" i="1" l="1"/>
  <c r="BF58" i="1" s="1"/>
  <c r="BE12" i="1"/>
  <c r="BE8" i="1" s="1"/>
  <c r="BE13" i="1"/>
  <c r="BF12" i="1" l="1"/>
  <c r="BG9" i="1"/>
  <c r="BG58" i="1" s="1"/>
  <c r="BH9" i="1" l="1"/>
  <c r="BH58" i="1" s="1"/>
  <c r="BG12" i="1"/>
  <c r="BI9" i="1" l="1"/>
  <c r="BI58" i="1" s="1"/>
  <c r="BH12" i="1"/>
  <c r="BJ9" i="1" l="1"/>
  <c r="BJ58" i="1" s="1"/>
  <c r="BI12" i="1"/>
  <c r="BK9" i="1" l="1"/>
  <c r="BK58" i="1" s="1"/>
  <c r="BJ12" i="1"/>
  <c r="BJ8" i="1" s="1"/>
  <c r="BJ13" i="1"/>
  <c r="BL9" i="1" l="1"/>
  <c r="BL58" i="1" s="1"/>
  <c r="BK12" i="1"/>
  <c r="BL12" i="1" l="1"/>
  <c r="BM9" i="1"/>
  <c r="BM58" i="1" l="1"/>
  <c r="BZ10" i="1"/>
  <c r="BN9" i="1"/>
  <c r="BM12" i="1"/>
  <c r="BN58" i="1" l="1"/>
  <c r="CA10" i="1"/>
  <c r="BN12" i="1"/>
  <c r="BO9" i="1"/>
  <c r="BO58" i="1" l="1"/>
  <c r="CB10" i="1"/>
  <c r="BP9" i="1"/>
  <c r="BP58" i="1" s="1"/>
  <c r="BO13" i="1"/>
  <c r="BO12" i="1"/>
  <c r="BO8" i="1" s="1"/>
  <c r="BQ9" i="1" l="1"/>
  <c r="BQ58" i="1" s="1"/>
  <c r="BP12" i="1"/>
  <c r="BR9" i="1" l="1"/>
  <c r="BR58" i="1" s="1"/>
  <c r="BQ12" i="1"/>
  <c r="BR12" i="1" l="1"/>
  <c r="BS9" i="1"/>
  <c r="BS58" i="1" s="1"/>
  <c r="BS12" i="1" l="1"/>
  <c r="BT9" i="1"/>
  <c r="BT58" i="1" s="1"/>
  <c r="BT12" i="1" l="1"/>
  <c r="BT8" i="1" s="1"/>
  <c r="BU9" i="1"/>
  <c r="BU58" i="1" s="1"/>
  <c r="BT13" i="1"/>
  <c r="BV9" i="1" l="1"/>
  <c r="BV58" i="1" s="1"/>
  <c r="BU12" i="1"/>
  <c r="BV12" i="1" l="1"/>
  <c r="BW9" i="1"/>
  <c r="BW58" i="1" s="1"/>
  <c r="BW12" i="1" l="1"/>
  <c r="BX9" i="1"/>
  <c r="BX58" i="1" s="1"/>
  <c r="BX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<sst xmlns="http://schemas.openxmlformats.org/spreadsheetml/2006/main" count="62" uniqueCount="54">
  <si>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</si>
  <si>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</si>
  <si>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</si>
  <si>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</si>
  <si>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</si>
  <si>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</si>
  <si>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</si>
  <si>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</si>
  <si>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</si>
  <si>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</si>
  <si>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</si>
  <si>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</si>
  <si>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</si>
  <si>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</si>
  <si>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</si>
  <si>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</si>
  <si>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 xml:space="preserve">Services : </t>
  </si>
  <si>
    <t>Méthodes, R&amp;D, Qualité, Produciton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</si>
  <si>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</si>
  <si>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</si>
  <si>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</si>
  <si>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</si>
  <si>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</si>
  <si>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</si>
  <si>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</si>
  <si>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</si>
  <si>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</si>
  <si>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</si>
  <si>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</si>
  <si>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</si>
  <si>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</si>
  <si>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</si>
  <si>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</si>
  <si>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</si>
  <si>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</si>
  <si>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</si>
  <si>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</si>
  <si>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</si>
  <si>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</si>
  <si>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</si>
  <si>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</si>
  <si>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</si>
  <si>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</si>
  <si>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Periode : oct 2024 - dec 2025</t>
  </si>
  <si>
    <t>TOUT LE MONDE</t>
  </si>
  <si>
    <t>Livrable: dossier analyse de l'existant</t>
  </si>
  <si>
    <t>Livrable</t>
  </si>
  <si>
    <t>Livrable: Gantt prévisionnel</t>
  </si>
  <si>
    <t>d</t>
  </si>
  <si>
    <t>gt</t>
  </si>
  <si>
    <t>t</t>
  </si>
  <si>
    <t>GRP.1</t>
  </si>
  <si>
    <t>GRP.2</t>
  </si>
  <si>
    <t>GRP.3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</si>
</sst>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[$-40C]d\-mmm\-yy;@"/>
    <numFmt numFmtId="166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0" fillId="7" borderId="11" xfId="0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0" fillId="7" borderId="15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1" fillId="5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164" fontId="4" fillId="2" borderId="5" xfId="0" applyNumberFormat="1" applyFont="1" applyFill="1" applyBorder="1" applyAlignment="1">
      <alignment horizontal="center" textRotation="90"/>
    </xf>
    <xf numFmtId="0" fontId="2" fillId="0" borderId="1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5" borderId="0" xfId="0" applyFont="1" applyFill="1" applyAlignment="1">
      <alignment horizontal="center" vertical="center"/>
    </xf>
  </cellXfs>
  <cellStyles count="2">
    <cellStyle name="Normal" xfId="0" builtinId="0"/>
    <cellStyle name="Pourcentage 2" xfId="1" xr:uid="{96266D42-8FFF-4CEA-9719-B14265AF08B4}"/>
  </cellStyles>
  <dxfs count="101">
    <dxf>
      <fill>
        <patternFill>
          <bgColor rgb="FF66FF66"/>
        </patternFill>
      </fill>
    </dxf>
    <dxf>
      <fill>
        <patternFill>
          <bgColor rgb="FFFF0000"/>
        </patternFill>
      </fill>
      <border>
        <right style="thin">
          <color auto="1"/>
        </right>
      </border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100"/>
      <tableStyleElement type="headerRow" dxfId="99"/>
    </tableStyle>
  </tableStyles>
  <colors>
    <mruColors>
      <color rgb="FF00FFFF"/>
      <color rgb="FF00FFCC"/>
      <color rgb="FF009E8B"/>
      <color rgb="FF00E6CB"/>
      <color rgb="FF00EABD"/>
      <color rgb="FF00F6C7"/>
      <color rgb="FF000099"/>
      <color rgb="FF003399"/>
      <color rgb="FF3366CC"/>
      <color rgb="FF0033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66675</xdr:colOff>
          <xdr:row>5</xdr:row>
          <xdr:rowOff>0</xdr:rowOff>
        </xdr:from>
        <xdr:to>
          <xdr:col>75</xdr:col>
          <xdr:colOff>47625</xdr:colOff>
          <xdr:row>5</xdr:row>
          <xdr:rowOff>266700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0"/>
  <sheetViews>
    <sheetView showGridLines="0" tabSelected="1" topLeftCell="A6" zoomScaleNormal="100" workbookViewId="0">
      <selection activeCell="T18" sqref="T18"/>
    </sheetView>
  </sheetViews>
  <sheetFormatPr baseColWidth="10" defaultRowHeight="15" x14ac:dyDescent="0.25"/>
  <cols>
    <col min="1" max="1" width="4.42578125" customWidth="1"/>
    <col min="2" max="2" width="44.140625" customWidth="1"/>
    <col min="3" max="3" width="12.5703125" customWidth="1"/>
    <col min="4" max="4" width="1.85546875" style="31" customWidth="1"/>
    <col min="5" max="5" width="15.28515625" customWidth="1"/>
    <col min="6" max="6" width="1.7109375" style="47" customWidth="1"/>
    <col min="7" max="7" width="12.140625" customWidth="1"/>
    <col min="8" max="9" width="12" customWidth="1"/>
    <col min="10" max="10" width="1.7109375" customWidth="1"/>
    <col min="11" max="11" width="6.5703125" customWidth="1"/>
    <col min="13" max="13" width="11.42578125" customWidth="1"/>
    <col min="14" max="14" width="0.85546875" customWidth="1"/>
    <col min="15" max="15" width="6.140625" style="1" customWidth="1"/>
    <col min="16" max="16" width="1.7109375" customWidth="1"/>
    <col min="17" max="76" width="2.7109375" customWidth="1"/>
    <col min="83" max="105" width="3.5703125" customWidth="1"/>
    <col min="106" max="122" width="2.28515625" customWidth="1"/>
  </cols>
  <sheetData>
    <row r="1" spans="1:82" ht="21.75" customHeight="1" x14ac:dyDescent="0.25">
      <c r="CC1" s="65"/>
    </row>
    <row r="2" spans="1:82" ht="15" customHeight="1" x14ac:dyDescent="0.4">
      <c r="A2" s="10"/>
      <c r="B2" s="91" t="s">
        <v>42</v>
      </c>
      <c r="C2" s="91"/>
      <c r="D2" s="91"/>
      <c r="E2" s="91"/>
      <c r="F2" s="46"/>
      <c r="G2" s="14"/>
      <c r="H2" s="74" t="s">
        <v>43</v>
      </c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5"/>
      <c r="AG2" s="15"/>
      <c r="AH2" s="15"/>
      <c r="AI2" s="97" t="s">
        <v>33</v>
      </c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</row>
    <row r="3" spans="1:82" ht="24.75" customHeight="1" x14ac:dyDescent="0.4">
      <c r="A3" s="10"/>
      <c r="B3" s="91"/>
      <c r="C3" s="91"/>
      <c r="D3" s="91"/>
      <c r="E3" s="91"/>
      <c r="F3" s="46"/>
      <c r="G3" s="1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5"/>
      <c r="AG3" s="15"/>
      <c r="AH3" s="15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</row>
    <row r="4" spans="1:82" x14ac:dyDescent="0.25">
      <c r="B4" s="12"/>
      <c r="Q4" s="13"/>
      <c r="R4" s="13"/>
      <c r="S4" s="13"/>
      <c r="T4" s="13"/>
      <c r="U4" s="13"/>
      <c r="V4" s="13"/>
      <c r="W4" s="13"/>
      <c r="X4" s="13"/>
      <c r="Y4" s="13"/>
      <c r="Z4" s="68" t="s">
        <v>22</v>
      </c>
      <c r="AA4" s="68"/>
      <c r="AB4" s="68"/>
      <c r="AC4" s="68"/>
      <c r="AD4" s="68" t="s">
        <v>23</v>
      </c>
      <c r="AE4" s="68"/>
      <c r="AF4" s="68"/>
      <c r="AG4" s="68"/>
      <c r="AH4" s="68"/>
      <c r="AI4" s="68"/>
    </row>
    <row r="5" spans="1:82" ht="23.25" customHeight="1" x14ac:dyDescent="0.25">
      <c r="B5" s="85" t="s">
        <v>34</v>
      </c>
      <c r="C5" s="86"/>
      <c r="D5" s="29"/>
      <c r="E5" s="11"/>
      <c r="F5" s="48"/>
      <c r="Q5" s="69" t="s">
        <v>18</v>
      </c>
      <c r="R5" s="69"/>
      <c r="S5" s="69"/>
      <c r="T5" s="69"/>
      <c r="U5" s="69"/>
      <c r="V5" s="69"/>
      <c r="W5" s="69"/>
      <c r="X5" s="69"/>
      <c r="Y5" s="6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45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</row>
    <row r="6" spans="1:82" ht="24" customHeight="1" x14ac:dyDescent="0.25">
      <c r="B6" s="87" t="s">
        <v>0</v>
      </c>
      <c r="C6" s="88"/>
      <c r="D6" s="29"/>
      <c r="E6" s="11"/>
      <c r="F6" s="48"/>
      <c r="Q6" s="69" t="s">
        <v>26</v>
      </c>
      <c r="R6" s="69"/>
      <c r="S6" s="69"/>
      <c r="T6" s="69"/>
      <c r="U6" s="69"/>
      <c r="V6" s="69"/>
      <c r="W6" s="69"/>
      <c r="X6" s="69"/>
      <c r="Y6" s="69"/>
      <c r="Z6" s="70"/>
      <c r="AA6" s="70"/>
      <c r="AB6" s="70"/>
      <c r="AC6" s="70"/>
      <c r="AD6" s="70"/>
      <c r="BS6" s="69">
        <f>$O$11/5</f>
        <v>0</v>
      </c>
      <c r="BT6" s="69"/>
    </row>
    <row r="7" spans="1:82" x14ac:dyDescent="0.25">
      <c r="B7" s="12"/>
    </row>
    <row r="8" spans="1:82" x14ac:dyDescent="0.25">
      <c r="B8" s="78" t="s">
        <v>15</v>
      </c>
      <c r="C8" s="68"/>
      <c r="D8" s="30"/>
      <c r="E8" s="7"/>
      <c r="F8" s="49"/>
      <c r="G8" s="52">
        <v>45566</v>
      </c>
      <c r="H8" s="39">
        <f>IF(WEEKDAY(G8,2)=1,G8,G8-WEEKDAY(G8,2)+1)</f>
        <v>45565</v>
      </c>
      <c r="I8" s="66"/>
      <c r="J8" s="3"/>
      <c r="K8" s="3"/>
      <c r="L8" s="1"/>
      <c r="M8" s="1"/>
      <c r="N8" s="1"/>
      <c r="O8" s="2"/>
      <c r="P8" s="25"/>
      <c r="Q8" s="71" t="str">
        <f>IF(Q12="L",TEXT(Q9,"mmm"),"")</f>
        <v>sept</v>
      </c>
      <c r="R8" s="71"/>
      <c r="S8" s="71"/>
      <c r="T8" s="71"/>
      <c r="U8" s="79"/>
      <c r="V8" s="71" t="str">
        <f t="shared" ref="V8" si="0">IF(V12="L",TEXT(V9,"mmm"),"")</f>
        <v>oct</v>
      </c>
      <c r="W8" s="71"/>
      <c r="X8" s="71"/>
      <c r="Y8" s="71"/>
      <c r="Z8" s="71"/>
      <c r="AA8" s="71" t="str">
        <f t="shared" ref="AA8" si="1">IF(AA12="L",TEXT(AA9,"mmm"),"")</f>
        <v>oct</v>
      </c>
      <c r="AB8" s="71"/>
      <c r="AC8" s="71"/>
      <c r="AD8" s="71"/>
      <c r="AE8" s="71"/>
      <c r="AF8" s="71" t="str">
        <f t="shared" ref="AF8" si="2">IF(AF12="L",TEXT(AF9,"mmm"),"")</f>
        <v>oct</v>
      </c>
      <c r="AG8" s="71"/>
      <c r="AH8" s="71"/>
      <c r="AI8" s="71"/>
      <c r="AJ8" s="71"/>
      <c r="AK8" s="71" t="str">
        <f t="shared" ref="AK8" si="3">IF(AK12="L",TEXT(AK9,"mmm"),"")</f>
        <v>oct</v>
      </c>
      <c r="AL8" s="71"/>
      <c r="AM8" s="71"/>
      <c r="AN8" s="71"/>
      <c r="AO8" s="71"/>
      <c r="AP8" s="71" t="str">
        <f t="shared" ref="AP8" si="4">IF(AP12="L",TEXT(AP9,"mmm"),"")</f>
        <v>nov</v>
      </c>
      <c r="AQ8" s="71"/>
      <c r="AR8" s="71"/>
      <c r="AS8" s="71"/>
      <c r="AT8" s="71"/>
      <c r="AU8" s="71" t="str">
        <f t="shared" ref="AU8" si="5">IF(AU12="L",TEXT(AU9,"mmm"),"")</f>
        <v>nov</v>
      </c>
      <c r="AV8" s="71"/>
      <c r="AW8" s="71"/>
      <c r="AX8" s="71"/>
      <c r="AY8" s="71"/>
      <c r="AZ8" s="71" t="str">
        <f t="shared" ref="AZ8" si="6">IF(AZ12="L",TEXT(AZ9,"mmm"),"")</f>
        <v>nov</v>
      </c>
      <c r="BA8" s="71"/>
      <c r="BB8" s="71"/>
      <c r="BC8" s="71"/>
      <c r="BD8" s="71"/>
      <c r="BE8" s="94" t="str">
        <f t="shared" ref="BE8" si="7">IF(BE12="L",TEXT(BE9,"mmm"),"")</f>
        <v>nov</v>
      </c>
      <c r="BF8" s="95"/>
      <c r="BG8" s="95"/>
      <c r="BH8" s="95"/>
      <c r="BI8" s="96"/>
      <c r="BJ8" s="71" t="str">
        <f t="shared" ref="BJ8" si="8">IF(BJ12="L",TEXT(BJ9,"mmm"),"")</f>
        <v>déc</v>
      </c>
      <c r="BK8" s="71"/>
      <c r="BL8" s="71"/>
      <c r="BM8" s="71"/>
      <c r="BN8" s="71"/>
      <c r="BO8" s="71" t="str">
        <f t="shared" ref="BO8" si="9">IF(BO12="L",TEXT(BO9,"mmm"),"")</f>
        <v>déc</v>
      </c>
      <c r="BP8" s="71"/>
      <c r="BQ8" s="71"/>
      <c r="BR8" s="71"/>
      <c r="BS8" s="71"/>
      <c r="BT8" s="71" t="str">
        <f t="shared" ref="BT8" si="10">IF(BT12="L",TEXT(BT9,"mmm"),"")</f>
        <v>déc</v>
      </c>
      <c r="BU8" s="71"/>
      <c r="BV8" s="71"/>
      <c r="BW8" s="71"/>
      <c r="BX8" s="71"/>
    </row>
    <row r="9" spans="1:82" ht="16.5" customHeight="1" x14ac:dyDescent="0.25">
      <c r="G9" s="1"/>
      <c r="H9" s="1"/>
      <c r="I9" s="1"/>
      <c r="J9" s="1"/>
      <c r="K9" s="1"/>
      <c r="L9" s="1"/>
      <c r="M9" s="1"/>
      <c r="N9" s="1"/>
      <c r="O9" s="2"/>
      <c r="P9" s="22"/>
      <c r="Q9" s="75">
        <f>WORKDAY(H8,O11,)</f>
        <v>45565</v>
      </c>
      <c r="R9" s="75">
        <f>WORKDAY(Q9,1)</f>
        <v>45566</v>
      </c>
      <c r="S9" s="75">
        <f t="shared" ref="S9:BN9" si="11">WORKDAY(R9,1)</f>
        <v>45567</v>
      </c>
      <c r="T9" s="75">
        <f t="shared" si="11"/>
        <v>45568</v>
      </c>
      <c r="U9" s="77">
        <f t="shared" si="11"/>
        <v>45569</v>
      </c>
      <c r="V9" s="75">
        <f t="shared" si="11"/>
        <v>45572</v>
      </c>
      <c r="W9" s="75">
        <f t="shared" si="11"/>
        <v>45573</v>
      </c>
      <c r="X9" s="75">
        <f t="shared" si="11"/>
        <v>45574</v>
      </c>
      <c r="Y9" s="75">
        <f t="shared" si="11"/>
        <v>45575</v>
      </c>
      <c r="Z9" s="75">
        <f t="shared" si="11"/>
        <v>45576</v>
      </c>
      <c r="AA9" s="75">
        <f t="shared" si="11"/>
        <v>45579</v>
      </c>
      <c r="AB9" s="75">
        <f t="shared" si="11"/>
        <v>45580</v>
      </c>
      <c r="AC9" s="75">
        <f t="shared" si="11"/>
        <v>45581</v>
      </c>
      <c r="AD9" s="75">
        <f t="shared" si="11"/>
        <v>45582</v>
      </c>
      <c r="AE9" s="75">
        <f t="shared" si="11"/>
        <v>45583</v>
      </c>
      <c r="AF9" s="75">
        <f t="shared" si="11"/>
        <v>45586</v>
      </c>
      <c r="AG9" s="75">
        <f t="shared" si="11"/>
        <v>45587</v>
      </c>
      <c r="AH9" s="75">
        <f t="shared" si="11"/>
        <v>45588</v>
      </c>
      <c r="AI9" s="75">
        <f t="shared" si="11"/>
        <v>45589</v>
      </c>
      <c r="AJ9" s="75">
        <f t="shared" si="11"/>
        <v>45590</v>
      </c>
      <c r="AK9" s="75">
        <f t="shared" si="11"/>
        <v>45593</v>
      </c>
      <c r="AL9" s="75">
        <f t="shared" si="11"/>
        <v>45594</v>
      </c>
      <c r="AM9" s="75">
        <f t="shared" si="11"/>
        <v>45595</v>
      </c>
      <c r="AN9" s="75">
        <f t="shared" si="11"/>
        <v>45596</v>
      </c>
      <c r="AO9" s="75">
        <f t="shared" si="11"/>
        <v>45597</v>
      </c>
      <c r="AP9" s="75">
        <f t="shared" si="11"/>
        <v>45600</v>
      </c>
      <c r="AQ9" s="75">
        <f t="shared" si="11"/>
        <v>45601</v>
      </c>
      <c r="AR9" s="75">
        <f t="shared" si="11"/>
        <v>45602</v>
      </c>
      <c r="AS9" s="75">
        <f t="shared" si="11"/>
        <v>45603</v>
      </c>
      <c r="AT9" s="75">
        <f t="shared" si="11"/>
        <v>45604</v>
      </c>
      <c r="AU9" s="75">
        <f t="shared" si="11"/>
        <v>45607</v>
      </c>
      <c r="AV9" s="75">
        <f t="shared" si="11"/>
        <v>45608</v>
      </c>
      <c r="AW9" s="75">
        <f t="shared" si="11"/>
        <v>45609</v>
      </c>
      <c r="AX9" s="75">
        <f t="shared" si="11"/>
        <v>45610</v>
      </c>
      <c r="AY9" s="75">
        <f t="shared" si="11"/>
        <v>45611</v>
      </c>
      <c r="AZ9" s="75">
        <f t="shared" si="11"/>
        <v>45614</v>
      </c>
      <c r="BA9" s="75">
        <f t="shared" si="11"/>
        <v>45615</v>
      </c>
      <c r="BB9" s="75">
        <f t="shared" si="11"/>
        <v>45616</v>
      </c>
      <c r="BC9" s="75">
        <f t="shared" si="11"/>
        <v>45617</v>
      </c>
      <c r="BD9" s="75">
        <f t="shared" si="11"/>
        <v>45618</v>
      </c>
      <c r="BE9" s="75">
        <f>WORKDAY(BD9,1)</f>
        <v>45621</v>
      </c>
      <c r="BF9" s="75">
        <f t="shared" si="11"/>
        <v>45622</v>
      </c>
      <c r="BG9" s="75">
        <f t="shared" si="11"/>
        <v>45623</v>
      </c>
      <c r="BH9" s="75">
        <f t="shared" si="11"/>
        <v>45624</v>
      </c>
      <c r="BI9" s="75">
        <f t="shared" si="11"/>
        <v>45625</v>
      </c>
      <c r="BJ9" s="75">
        <f t="shared" si="11"/>
        <v>45628</v>
      </c>
      <c r="BK9" s="75">
        <f t="shared" si="11"/>
        <v>45629</v>
      </c>
      <c r="BL9" s="75">
        <f t="shared" si="11"/>
        <v>45630</v>
      </c>
      <c r="BM9" s="75">
        <f t="shared" si="11"/>
        <v>45631</v>
      </c>
      <c r="BN9" s="75">
        <f t="shared" si="11"/>
        <v>45632</v>
      </c>
      <c r="BO9" s="75">
        <f t="shared" ref="BO9" si="12">WORKDAY(BN9,1)</f>
        <v>45635</v>
      </c>
      <c r="BP9" s="75">
        <f t="shared" ref="BP9" si="13">WORKDAY(BO9,1)</f>
        <v>45636</v>
      </c>
      <c r="BQ9" s="75">
        <f t="shared" ref="BQ9" si="14">WORKDAY(BP9,1)</f>
        <v>45637</v>
      </c>
      <c r="BR9" s="75">
        <f t="shared" ref="BR9" si="15">WORKDAY(BQ9,1)</f>
        <v>45638</v>
      </c>
      <c r="BS9" s="75">
        <f t="shared" ref="BS9" si="16">WORKDAY(BR9,1)</f>
        <v>45639</v>
      </c>
      <c r="BT9" s="75">
        <f t="shared" ref="BT9" si="17">WORKDAY(BS9,1)</f>
        <v>45642</v>
      </c>
      <c r="BU9" s="75">
        <f t="shared" ref="BU9" si="18">WORKDAY(BT9,1)</f>
        <v>45643</v>
      </c>
      <c r="BV9" s="75">
        <f t="shared" ref="BV9" si="19">WORKDAY(BU9,1)</f>
        <v>45644</v>
      </c>
      <c r="BW9" s="75">
        <f t="shared" ref="BW9" si="20">WORKDAY(BV9,1)</f>
        <v>45645</v>
      </c>
      <c r="BX9" s="75">
        <f t="shared" ref="BX9" si="21">WORKDAY(BW9,1)</f>
        <v>45646</v>
      </c>
    </row>
    <row r="10" spans="1:82" x14ac:dyDescent="0.25">
      <c r="B10" s="44" t="s">
        <v>16</v>
      </c>
      <c r="C10" s="81" t="s">
        <v>17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1"/>
      <c r="O10" s="2"/>
      <c r="P10" s="22"/>
      <c r="Q10" s="76"/>
      <c r="R10" s="76"/>
      <c r="S10" s="76"/>
      <c r="T10" s="76"/>
      <c r="U10" s="77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Z10">
        <f>IF(BM9 =0, 1,0)</f>
        <v>0</v>
      </c>
      <c r="CA10">
        <f t="shared" ref="CA10:CB10" ca="1" si="22">IF(BN9 =TODAY(), 1,0)</f>
        <v>0</v>
      </c>
      <c r="CB10">
        <f t="shared" ca="1" si="22"/>
        <v>0</v>
      </c>
      <c r="CC10" cm="1">
        <f t="array" aca="1" ref="CC10" ca="1">IF((ISNUMBER(FIND(LOWER('Parametre Gantt'!$A$3), LOWER($B14)))),CELL("couleur",'Parametre Gantt'!$B$3),0)</f>
        <v>0</v>
      </c>
      <c r="CD10">
        <f>IF((ISNUMBER(FIND(LOWER('Parametre Gantt'!$A$3), LOWER($B14)))),1,0)</f>
        <v>0</v>
      </c>
    </row>
    <row r="11" spans="1:82" x14ac:dyDescent="0.25">
      <c r="B11" s="43"/>
      <c r="G11" s="1"/>
      <c r="H11" s="1"/>
      <c r="I11" s="1"/>
      <c r="J11" s="1"/>
      <c r="K11" s="1"/>
      <c r="L11" s="5"/>
      <c r="M11" s="1"/>
      <c r="N11" s="1"/>
      <c r="O11" s="8">
        <v>0</v>
      </c>
      <c r="P11" s="22"/>
      <c r="Q11" s="76"/>
      <c r="R11" s="76"/>
      <c r="S11" s="76"/>
      <c r="T11" s="76"/>
      <c r="U11" s="77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CC11" cm="1">
        <f t="array" aca="1" ref="CC11" ca="1">IF((ISNUMBER(FIND(LOWER('Parametre Gantt'!$A$3), LOWER($B15)))),CELL("couleur",'Parametre Gantt'!$B$3),0)</f>
        <v>0</v>
      </c>
      <c r="CD11">
        <f>IF((ISNUMBER(FIND(LOWER('Parametre Gantt'!$A$3), LOWER($B15)))),1,0)</f>
        <v>0</v>
      </c>
    </row>
    <row r="12" spans="1:82" x14ac:dyDescent="0.25">
      <c r="A12" s="42"/>
      <c r="B12" s="80" t="s">
        <v>14</v>
      </c>
      <c r="C12" s="80"/>
      <c r="D12" s="80"/>
      <c r="E12" s="80"/>
      <c r="F12" s="50"/>
      <c r="G12" s="82" t="s">
        <v>6</v>
      </c>
      <c r="H12" s="83"/>
      <c r="I12" s="84"/>
      <c r="J12" s="19"/>
      <c r="K12" s="6"/>
      <c r="L12" s="92" t="s">
        <v>7</v>
      </c>
      <c r="M12" s="93"/>
      <c r="N12" s="19"/>
      <c r="O12" s="6"/>
      <c r="P12" s="23"/>
      <c r="Q12" s="38" t="str">
        <f>UPPER(LEFT(TEXT(Q9,"jjj"),1))</f>
        <v>L</v>
      </c>
      <c r="R12" s="38" t="str">
        <f t="shared" ref="R12:BX12" si="23">UPPER(LEFT(TEXT(R9,"jjj"),1))</f>
        <v>M</v>
      </c>
      <c r="S12" s="38" t="str">
        <f t="shared" si="23"/>
        <v>M</v>
      </c>
      <c r="T12" s="38" t="str">
        <f t="shared" si="23"/>
        <v>J</v>
      </c>
      <c r="U12" s="38" t="str">
        <f t="shared" si="23"/>
        <v>V</v>
      </c>
      <c r="V12" s="38" t="str">
        <f t="shared" si="23"/>
        <v>L</v>
      </c>
      <c r="W12" s="38" t="str">
        <f t="shared" si="23"/>
        <v>M</v>
      </c>
      <c r="X12" s="38" t="str">
        <f t="shared" si="23"/>
        <v>M</v>
      </c>
      <c r="Y12" s="38" t="str">
        <f t="shared" si="23"/>
        <v>J</v>
      </c>
      <c r="Z12" s="38" t="str">
        <f t="shared" si="23"/>
        <v>V</v>
      </c>
      <c r="AA12" s="38" t="str">
        <f t="shared" si="23"/>
        <v>L</v>
      </c>
      <c r="AB12" s="38" t="str">
        <f t="shared" si="23"/>
        <v>M</v>
      </c>
      <c r="AC12" s="38" t="str">
        <f t="shared" si="23"/>
        <v>M</v>
      </c>
      <c r="AD12" s="38" t="str">
        <f t="shared" si="23"/>
        <v>J</v>
      </c>
      <c r="AE12" s="38" t="str">
        <f t="shared" si="23"/>
        <v>V</v>
      </c>
      <c r="AF12" s="38" t="str">
        <f t="shared" si="23"/>
        <v>L</v>
      </c>
      <c r="AG12" s="38" t="str">
        <f t="shared" si="23"/>
        <v>M</v>
      </c>
      <c r="AH12" s="38" t="str">
        <f t="shared" si="23"/>
        <v>M</v>
      </c>
      <c r="AI12" s="38" t="str">
        <f t="shared" si="23"/>
        <v>J</v>
      </c>
      <c r="AJ12" s="38" t="str">
        <f t="shared" si="23"/>
        <v>V</v>
      </c>
      <c r="AK12" s="38" t="str">
        <f t="shared" si="23"/>
        <v>L</v>
      </c>
      <c r="AL12" s="38" t="str">
        <f t="shared" si="23"/>
        <v>M</v>
      </c>
      <c r="AM12" s="38" t="str">
        <f t="shared" si="23"/>
        <v>M</v>
      </c>
      <c r="AN12" s="38" t="str">
        <f t="shared" si="23"/>
        <v>J</v>
      </c>
      <c r="AO12" s="38" t="str">
        <f t="shared" si="23"/>
        <v>V</v>
      </c>
      <c r="AP12" s="38" t="str">
        <f t="shared" si="23"/>
        <v>L</v>
      </c>
      <c r="AQ12" s="38" t="str">
        <f t="shared" si="23"/>
        <v>M</v>
      </c>
      <c r="AR12" s="38" t="str">
        <f t="shared" si="23"/>
        <v>M</v>
      </c>
      <c r="AS12" s="38" t="str">
        <f t="shared" si="23"/>
        <v>J</v>
      </c>
      <c r="AT12" s="38" t="str">
        <f t="shared" si="23"/>
        <v>V</v>
      </c>
      <c r="AU12" s="38" t="str">
        <f t="shared" si="23"/>
        <v>L</v>
      </c>
      <c r="AV12" s="38" t="str">
        <f t="shared" si="23"/>
        <v>M</v>
      </c>
      <c r="AW12" s="38" t="str">
        <f t="shared" si="23"/>
        <v>M</v>
      </c>
      <c r="AX12" s="38" t="str">
        <f t="shared" si="23"/>
        <v>J</v>
      </c>
      <c r="AY12" s="38" t="str">
        <f t="shared" si="23"/>
        <v>V</v>
      </c>
      <c r="AZ12" s="38" t="str">
        <f t="shared" si="23"/>
        <v>L</v>
      </c>
      <c r="BA12" s="38" t="str">
        <f t="shared" si="23"/>
        <v>M</v>
      </c>
      <c r="BB12" s="38" t="str">
        <f t="shared" si="23"/>
        <v>M</v>
      </c>
      <c r="BC12" s="38" t="str">
        <f t="shared" si="23"/>
        <v>J</v>
      </c>
      <c r="BD12" s="38" t="str">
        <f t="shared" si="23"/>
        <v>V</v>
      </c>
      <c r="BE12" s="38" t="str">
        <f t="shared" si="23"/>
        <v>L</v>
      </c>
      <c r="BF12" s="38" t="str">
        <f t="shared" si="23"/>
        <v>M</v>
      </c>
      <c r="BG12" s="38" t="str">
        <f t="shared" si="23"/>
        <v>M</v>
      </c>
      <c r="BH12" s="38" t="str">
        <f t="shared" si="23"/>
        <v>J</v>
      </c>
      <c r="BI12" s="38" t="str">
        <f t="shared" si="23"/>
        <v>V</v>
      </c>
      <c r="BJ12" s="38" t="str">
        <f t="shared" si="23"/>
        <v>L</v>
      </c>
      <c r="BK12" s="38" t="str">
        <f t="shared" si="23"/>
        <v>M</v>
      </c>
      <c r="BL12" s="38" t="str">
        <f t="shared" si="23"/>
        <v>M</v>
      </c>
      <c r="BM12" s="38" t="str">
        <f t="shared" si="23"/>
        <v>J</v>
      </c>
      <c r="BN12" s="38" t="str">
        <f t="shared" si="23"/>
        <v>V</v>
      </c>
      <c r="BO12" s="38" t="str">
        <f t="shared" si="23"/>
        <v>L</v>
      </c>
      <c r="BP12" s="38" t="str">
        <f t="shared" si="23"/>
        <v>M</v>
      </c>
      <c r="BQ12" s="38" t="str">
        <f t="shared" si="23"/>
        <v>M</v>
      </c>
      <c r="BR12" s="38" t="str">
        <f t="shared" si="23"/>
        <v>J</v>
      </c>
      <c r="BS12" s="38" t="str">
        <f t="shared" si="23"/>
        <v>V</v>
      </c>
      <c r="BT12" s="38" t="str">
        <f t="shared" si="23"/>
        <v>L</v>
      </c>
      <c r="BU12" s="38" t="str">
        <f t="shared" si="23"/>
        <v>M</v>
      </c>
      <c r="BV12" s="38" t="str">
        <f t="shared" si="23"/>
        <v>M</v>
      </c>
      <c r="BW12" s="38" t="str">
        <f t="shared" si="23"/>
        <v>J</v>
      </c>
      <c r="BX12" s="38" t="str">
        <f t="shared" si="23"/>
        <v>V</v>
      </c>
      <c r="CC12" cm="1">
        <f t="array" aca="1" ref="CC12" ca="1">IF((ISNUMBER(FIND(LOWER('Parametre Gantt'!$A$3), LOWER($B16)))),CELL("couleur",'Parametre Gantt'!$B$3),0)</f>
        <v>0</v>
      </c>
      <c r="CD12">
        <f>IF((ISNUMBER(FIND(LOWER('Parametre Gantt'!$A$3), LOWER($B16)))),1,0)</f>
        <v>0</v>
      </c>
    </row>
    <row r="13" spans="1:82" ht="15.75" customHeight="1" x14ac:dyDescent="0.25">
      <c r="A13" s="41"/>
      <c r="B13" s="37" t="s">
        <v>5</v>
      </c>
      <c r="C13" s="32" t="s">
        <v>1</v>
      </c>
      <c r="D13" s="26"/>
      <c r="E13" s="32" t="s">
        <v>9</v>
      </c>
      <c r="F13" s="51"/>
      <c r="G13" s="33" t="s">
        <v>2</v>
      </c>
      <c r="H13" s="33" t="s">
        <v>3</v>
      </c>
      <c r="I13" s="33" t="s">
        <v>35</v>
      </c>
      <c r="J13" s="20"/>
      <c r="K13" s="35" t="s">
        <v>8</v>
      </c>
      <c r="L13" s="33" t="s">
        <v>4</v>
      </c>
      <c r="M13" s="34" t="s">
        <v>3</v>
      </c>
      <c r="N13" s="19"/>
      <c r="O13" s="35" t="s">
        <v>8</v>
      </c>
      <c r="P13" s="23"/>
      <c r="Q13" s="72">
        <f>WEEKNUM(Q9,11)</f>
        <v>40</v>
      </c>
      <c r="R13" s="73"/>
      <c r="S13" s="73"/>
      <c r="T13" s="73"/>
      <c r="U13" s="73"/>
      <c r="V13" s="72">
        <f>WEEKNUM(V9,11)</f>
        <v>41</v>
      </c>
      <c r="W13" s="73"/>
      <c r="X13" s="73"/>
      <c r="Y13" s="73"/>
      <c r="Z13" s="73"/>
      <c r="AA13" s="72">
        <f t="shared" ref="AA13" si="24">WEEKNUM(AA9,11)</f>
        <v>42</v>
      </c>
      <c r="AB13" s="73"/>
      <c r="AC13" s="73"/>
      <c r="AD13" s="73"/>
      <c r="AE13" s="73"/>
      <c r="AF13" s="72">
        <f t="shared" ref="AF13" si="25">WEEKNUM(AF9,11)</f>
        <v>43</v>
      </c>
      <c r="AG13" s="73"/>
      <c r="AH13" s="73"/>
      <c r="AI13" s="73"/>
      <c r="AJ13" s="73"/>
      <c r="AK13" s="72">
        <f t="shared" ref="AK13" si="26">WEEKNUM(AK9,11)</f>
        <v>44</v>
      </c>
      <c r="AL13" s="73"/>
      <c r="AM13" s="73"/>
      <c r="AN13" s="73"/>
      <c r="AO13" s="73"/>
      <c r="AP13" s="72">
        <f t="shared" ref="AP13" si="27">WEEKNUM(AP9,11)</f>
        <v>45</v>
      </c>
      <c r="AQ13" s="73"/>
      <c r="AR13" s="73"/>
      <c r="AS13" s="73"/>
      <c r="AT13" s="73"/>
      <c r="AU13" s="72">
        <f t="shared" ref="AU13" si="28">WEEKNUM(AU9,11)</f>
        <v>46</v>
      </c>
      <c r="AV13" s="73"/>
      <c r="AW13" s="73"/>
      <c r="AX13" s="73"/>
      <c r="AY13" s="73"/>
      <c r="AZ13" s="72">
        <f t="shared" ref="AZ13" si="29">WEEKNUM(AZ9,11)</f>
        <v>47</v>
      </c>
      <c r="BA13" s="73"/>
      <c r="BB13" s="73"/>
      <c r="BC13" s="73"/>
      <c r="BD13" s="73"/>
      <c r="BE13" s="72">
        <f t="shared" ref="BE13" si="30">WEEKNUM(BE9,11)</f>
        <v>48</v>
      </c>
      <c r="BF13" s="73"/>
      <c r="BG13" s="73"/>
      <c r="BH13" s="73"/>
      <c r="BI13" s="73"/>
      <c r="BJ13" s="72">
        <f t="shared" ref="BJ13" si="31">WEEKNUM(BJ9,11)</f>
        <v>49</v>
      </c>
      <c r="BK13" s="73"/>
      <c r="BL13" s="73"/>
      <c r="BM13" s="73"/>
      <c r="BN13" s="73"/>
      <c r="BO13" s="72">
        <f t="shared" ref="BO13" si="32">WEEKNUM(BO9,11)</f>
        <v>50</v>
      </c>
      <c r="BP13" s="73"/>
      <c r="BQ13" s="73"/>
      <c r="BR13" s="73"/>
      <c r="BS13" s="73"/>
      <c r="BT13" s="72">
        <f t="shared" ref="BT13" si="33">WEEKNUM(BT9,11)</f>
        <v>51</v>
      </c>
      <c r="BU13" s="73"/>
      <c r="BV13" s="73"/>
      <c r="BW13" s="73"/>
      <c r="BX13" s="73"/>
      <c r="CC13" cm="1">
        <f t="array" aca="1" ref="CC13" ca="1">IF((ISNUMBER(FIND(LOWER('Parametre Gantt'!$A$3), LOWER($B17)))),CELL("couleur",'Parametre Gantt'!$B$3),0)</f>
        <v>0</v>
      </c>
      <c r="CD13">
        <f>IF((ISNUMBER(FIND(LOWER('Parametre Gantt'!$A$3), LOWER($B17)))),1,0)</f>
        <v>0</v>
      </c>
    </row>
    <row r="14" spans="1:82" ht="24.95" customHeight="1" x14ac:dyDescent="0.25">
      <c r="A14" s="40">
        <v>1</v>
      </c>
      <c r="B14" s="16" t="s">
        <v>45</v>
      </c>
      <c r="C14" s="17">
        <v>0.1</v>
      </c>
      <c r="D14" s="28">
        <f>IF(E14&lt;&gt;"",_xlfn.XLOOKUP(E14,'Parametre Gantt'!$G$3:$G$16,'Parametre Gantt'!$F$3:$F$16,""),0)</f>
        <v>9</v>
      </c>
      <c r="E14" s="17" t="s">
        <v>41</v>
      </c>
      <c r="F14" s="59">
        <f>_xlfn.XLOOKUP(E14,'Parametre Gantt'!$G$3:$G$16,'Parametre Gantt'!$H$3:$H$16,"")</f>
        <v>0</v>
      </c>
      <c r="G14" s="18">
        <v>45569</v>
      </c>
      <c r="H14" s="18">
        <v>45576</v>
      </c>
      <c r="I14" s="67">
        <v>0.5</v>
      </c>
      <c r="J14" s="21"/>
      <c r="K14" s="36">
        <f t="shared" ref="K14:K19" si="34">IF(LOWER(B14)="formation","/",IF(AND(G14&lt;&gt;"",H14&lt;&gt;""),NETWORKDAYS(G14,H14),""))</f>
        <v>6</v>
      </c>
      <c r="L14" s="18"/>
      <c r="M14" s="18"/>
      <c r="N14" s="27"/>
      <c r="O14" s="36" t="str">
        <f t="shared" ref="O14:O19" si="35">IF(LOWER(B14)="formation","/",IF(AND(L14&lt;&gt;"",M14&lt;&gt;""),NETWORKDAYS(L14,M14),""))</f>
        <v/>
      </c>
      <c r="P14" s="2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CC14" cm="1">
        <f t="array" aca="1" ref="CC14" ca="1">IF((ISNUMBER(FIND(LOWER('Parametre Gantt'!$A$3), LOWER($B18)))),CELL("couleur",'Parametre Gantt'!$B$3),0)</f>
        <v>0</v>
      </c>
      <c r="CD14">
        <f>IF((ISNUMBER(FIND(LOWER('Parametre Gantt'!$A$3), LOWER($B18)))),1,0)</f>
        <v>0</v>
      </c>
    </row>
    <row r="15" spans="1:82" ht="24.95" customHeight="1" x14ac:dyDescent="0.25">
      <c r="A15" s="40">
        <v>2</v>
      </c>
      <c r="B15" s="16" t="s">
        <v>47</v>
      </c>
      <c r="C15" s="17">
        <v>0.5</v>
      </c>
      <c r="D15" s="28">
        <f>IF(E15&lt;&gt;"",_xlfn.XLOOKUP(E15,'Parametre Gantt'!$G$3:$G$16,'Parametre Gantt'!$F$3:$F$16,""),0)</f>
        <v>0</v>
      </c>
      <c r="E15" s="17"/>
      <c r="F15" s="59">
        <f>_xlfn.XLOOKUP(E15,'Parametre Gantt'!$G$3:$G$16,'Parametre Gantt'!$H$3:$H$16,"")</f>
        <v>0</v>
      </c>
      <c r="G15" s="18">
        <v>45570</v>
      </c>
      <c r="H15" s="18">
        <v>45573</v>
      </c>
      <c r="I15" s="67">
        <v>0.5</v>
      </c>
      <c r="J15" s="21"/>
      <c r="K15" s="36">
        <f t="shared" si="34"/>
        <v>2</v>
      </c>
      <c r="L15" s="18"/>
      <c r="M15" s="18"/>
      <c r="N15" s="27"/>
      <c r="O15" s="36" t="str">
        <f t="shared" si="35"/>
        <v/>
      </c>
      <c r="P15" s="2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CC15" cm="1">
        <f t="array" aca="1" ref="CC15" ca="1">IF((ISNUMBER(FIND(LOWER('Parametre Gantt'!$A$3), LOWER($B19)))),CELL("couleur",'Parametre Gantt'!$B$3),0)</f>
        <v>0</v>
      </c>
      <c r="CD15">
        <f>IF((ISNUMBER(FIND(LOWER('Parametre Gantt'!$A$3), LOWER($B19)))),1,0)</f>
        <v>0</v>
      </c>
    </row>
    <row r="16" spans="1:82" ht="24.95" customHeight="1" x14ac:dyDescent="0.25">
      <c r="A16" s="40">
        <v>3</v>
      </c>
      <c r="B16" s="16" t="s">
        <v>5</v>
      </c>
      <c r="C16" s="17"/>
      <c r="D16" s="28">
        <f>IF(E16&lt;&gt;"",_xlfn.XLOOKUP(E16,'Parametre Gantt'!$G$3:$G$16,'Parametre Gantt'!$F$3:$F$16,""),0)</f>
        <v>0</v>
      </c>
      <c r="E16" s="17"/>
      <c r="F16" s="59">
        <f>_xlfn.XLOOKUP(E16,'Parametre Gantt'!$G$3:$G$16,'Parametre Gantt'!$H$3:$H$16,"")</f>
        <v>0</v>
      </c>
      <c r="G16" s="18">
        <v>45575</v>
      </c>
      <c r="H16" s="18">
        <v>45580</v>
      </c>
      <c r="I16" s="67"/>
      <c r="J16" s="21"/>
      <c r="K16" s="36">
        <f t="shared" si="34"/>
        <v>4</v>
      </c>
      <c r="L16" s="18"/>
      <c r="M16" s="18"/>
      <c r="N16" s="27"/>
      <c r="O16" s="36" t="str">
        <f t="shared" si="35"/>
        <v/>
      </c>
      <c r="P16" s="2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CC16" cm="1">
        <f t="array" aca="1" ref="CC16" ca="1">IF((ISNUMBER(FIND(LOWER('Parametre Gantt'!$A$3), LOWER($B20)))),CELL("couleur",'Parametre Gantt'!$B$3),0)</f>
        <v>0</v>
      </c>
      <c r="CD16">
        <f>IF((ISNUMBER(FIND(LOWER('Parametre Gantt'!$A$3), LOWER($B20)))),1,0)</f>
        <v>0</v>
      </c>
    </row>
    <row r="17" spans="1:82" ht="24.95" customHeight="1" x14ac:dyDescent="0.25">
      <c r="A17" s="40">
        <v>4</v>
      </c>
      <c r="B17" s="16" t="s">
        <v>5</v>
      </c>
      <c r="C17" s="17"/>
      <c r="D17" s="28">
        <f>IF(E17&lt;&gt;"",_xlfn.XLOOKUP(E17,'Parametre Gantt'!$G$3:$G$16,'Parametre Gantt'!$F$3:$F$16,""),0)</f>
        <v>0</v>
      </c>
      <c r="E17" s="17"/>
      <c r="F17" s="59">
        <f>_xlfn.XLOOKUP(E17,'Parametre Gantt'!$G$3:$G$16,'Parametre Gantt'!$H$3:$H$16,"")</f>
        <v>0</v>
      </c>
      <c r="G17" s="18"/>
      <c r="H17" s="18"/>
      <c r="I17" s="67"/>
      <c r="J17" s="21"/>
      <c r="K17" s="36" t="str">
        <f t="shared" si="34"/>
        <v/>
      </c>
      <c r="L17" s="18"/>
      <c r="M17" s="18"/>
      <c r="N17" s="27"/>
      <c r="O17" s="36" t="str">
        <f t="shared" si="35"/>
        <v/>
      </c>
      <c r="P17" s="2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CC17" cm="1">
        <f t="array" aca="1" ref="CC17" ca="1">IF((ISNUMBER(FIND(LOWER('Parametre Gantt'!$A$3), LOWER($B21)))),CELL("couleur",'Parametre Gantt'!$B$3),0)</f>
        <v>0</v>
      </c>
      <c r="CD17">
        <f>IF((ISNUMBER(FIND(LOWER('Parametre Gantt'!$A$3), LOWER($B21)))),1,0)</f>
        <v>0</v>
      </c>
    </row>
    <row r="18" spans="1:82" ht="24.95" customHeight="1" x14ac:dyDescent="0.25">
      <c r="A18" s="40">
        <v>5</v>
      </c>
      <c r="B18" s="16" t="s">
        <v>5</v>
      </c>
      <c r="C18" s="17"/>
      <c r="D18" s="28">
        <f>IF(E18&lt;&gt;"",_xlfn.XLOOKUP(E18,'Parametre Gantt'!$G$3:$G$16,'Parametre Gantt'!$F$3:$F$16,""),0)</f>
        <v>0</v>
      </c>
      <c r="E18" s="17"/>
      <c r="F18" s="59">
        <f>_xlfn.XLOOKUP(E18,'Parametre Gantt'!$G$3:$G$16,'Parametre Gantt'!$H$3:$H$16,"")</f>
        <v>0</v>
      </c>
      <c r="G18" s="18"/>
      <c r="H18" s="18"/>
      <c r="I18" s="67"/>
      <c r="J18" s="21"/>
      <c r="K18" s="36" t="str">
        <f t="shared" si="34"/>
        <v/>
      </c>
      <c r="L18" s="18"/>
      <c r="M18" s="18"/>
      <c r="N18" s="27"/>
      <c r="O18" s="36" t="str">
        <f t="shared" si="35"/>
        <v/>
      </c>
      <c r="P18" s="2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CC18" t="str">
        <f>IF(AND($G22&lt;=Q$9, $H22&gt;=Q$9, ISNUMBER(FIND(LOWER('Parametre Gantt'!$A$3), LOWER($B22)))),'Parametre Gantt'!B11,"")</f>
        <v/>
      </c>
    </row>
    <row r="19" spans="1:82" ht="24.95" customHeight="1" x14ac:dyDescent="0.25">
      <c r="A19" s="40">
        <v>6</v>
      </c>
      <c r="B19" s="16" t="s">
        <v>5</v>
      </c>
      <c r="C19" s="17"/>
      <c r="D19" s="28">
        <f>IF(E19&lt;&gt;"",_xlfn.XLOOKUP(E19,'Parametre Gantt'!$G$3:$G$16,'Parametre Gantt'!$F$3:$F$16,""),0)</f>
        <v>0</v>
      </c>
      <c r="E19" s="17"/>
      <c r="F19" s="59">
        <f>_xlfn.XLOOKUP(E19,'Parametre Gantt'!$G$3:$G$16,'Parametre Gantt'!$H$3:$H$16,"")</f>
        <v>0</v>
      </c>
      <c r="G19" s="18"/>
      <c r="H19" s="18"/>
      <c r="I19" s="67"/>
      <c r="J19" s="21"/>
      <c r="K19" s="36" t="str">
        <f t="shared" si="34"/>
        <v/>
      </c>
      <c r="L19" s="18"/>
      <c r="M19" s="18"/>
      <c r="N19" s="27"/>
      <c r="O19" s="36" t="str">
        <f t="shared" si="35"/>
        <v/>
      </c>
      <c r="P19" s="2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CC19" t="str">
        <f>IF(AND($G21&lt;=Q$9, $H21&gt;=Q$9, ISNUMBER(FIND(LOWER('Parametre Gantt'!$A$3), LOWER($B21)))),'Parametre Gantt'!B10,"")</f>
        <v/>
      </c>
    </row>
    <row r="20" spans="1:82" ht="24.95" customHeight="1" x14ac:dyDescent="0.25">
      <c r="A20" s="40">
        <v>7</v>
      </c>
      <c r="B20" s="16" t="s">
        <v>48</v>
      </c>
      <c r="C20" s="17"/>
      <c r="D20" s="28">
        <f>IF(E20&lt;&gt;"",_xlfn.XLOOKUP(E20,'Parametre Gantt'!$G$3:$G$16,'Parametre Gantt'!$F$3:$F$16,""),0)</f>
        <v>0</v>
      </c>
      <c r="E20" s="17"/>
      <c r="F20" s="59">
        <f>_xlfn.XLOOKUP(E20,'Parametre Gantt'!$G$3:$G$16,'Parametre Gantt'!$H$3:$H$16,"")</f>
        <v>0</v>
      </c>
      <c r="G20" s="18"/>
      <c r="H20" s="18"/>
      <c r="I20" s="67"/>
      <c r="J20" s="21"/>
      <c r="K20" s="36" t="str">
        <f>IF(LOWER(B20)="formation","/",IF(AND(G20&lt;&gt;"",H20&lt;&gt;""),NETWORKDAYS(G20,H20),""))</f>
        <v/>
      </c>
      <c r="L20" s="18"/>
      <c r="M20" s="18"/>
      <c r="N20" s="27"/>
      <c r="O20" s="36" t="str">
        <f>IF(LOWER(B20)="formation","/",IF(AND(L20&lt;&gt;"",M20&lt;&gt;""),NETWORKDAYS(L20,M20),""))</f>
        <v/>
      </c>
      <c r="P20" s="2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CC20" t="str">
        <f>IF(AND($G22&lt;=Q$9, $H22&gt;=Q$9, ISNUMBER(FIND(LOWER('Parametre Gantt'!$A$3), LOWER($B22)))),'Parametre Gantt'!B11,"")</f>
        <v/>
      </c>
    </row>
    <row r="21" spans="1:82" ht="24.95" customHeight="1" x14ac:dyDescent="0.25">
      <c r="A21" s="40">
        <v>8</v>
      </c>
      <c r="B21" s="16" t="s">
        <v>48</v>
      </c>
      <c r="C21" s="17"/>
      <c r="D21" s="28">
        <f>IF(E21&lt;&gt;"",_xlfn.XLOOKUP(E21,'Parametre Gantt'!$G$3:$G$16,'Parametre Gantt'!$F$3:$F$16,""),0)</f>
        <v>0</v>
      </c>
      <c r="E21" s="17"/>
      <c r="F21" s="59">
        <f>_xlfn.XLOOKUP(E21,'Parametre Gantt'!$G$3:$G$16,'Parametre Gantt'!$H$3:$H$16,"")</f>
        <v>0</v>
      </c>
      <c r="G21" s="18"/>
      <c r="H21" s="18"/>
      <c r="I21" s="67"/>
      <c r="J21" s="21"/>
      <c r="K21" s="36" t="str">
        <f t="shared" ref="K21:K57" si="36">IF(LOWER(B21)="formation","/",IF(AND(G21&lt;&gt;"",H21&lt;&gt;""),NETWORKDAYS(G21,H21),""))</f>
        <v/>
      </c>
      <c r="L21" s="18"/>
      <c r="M21" s="18"/>
      <c r="N21" s="27"/>
      <c r="O21" s="36" t="str">
        <f t="shared" ref="O21:O57" si="37">IF(LOWER(B21)="formation","/",IF(AND(L21&lt;&gt;"",M21&lt;&gt;""),NETWORKDAYS(L21,M21),""))</f>
        <v/>
      </c>
      <c r="P21" s="2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CC21" t="str">
        <f>IF(AND($G24&lt;=Q$9, $H24&gt;=Q$9, ISNUMBER(FIND(LOWER('Parametre Gantt'!$A$3), LOWER($B24)))),'Parametre Gantt'!B15,"")</f>
        <v/>
      </c>
    </row>
    <row r="22" spans="1:82" ht="24.95" customHeight="1" x14ac:dyDescent="0.25">
      <c r="A22" s="40">
        <v>9</v>
      </c>
      <c r="B22" s="16" t="s">
        <v>49</v>
      </c>
      <c r="C22" s="17"/>
      <c r="D22" s="28">
        <f>IF(E22&lt;&gt;"",_xlfn.XLOOKUP(E22,'Parametre Gantt'!$G$3:$G$16,'Parametre Gantt'!$F$3:$F$16,""),0)</f>
        <v>0</v>
      </c>
      <c r="E22" s="17"/>
      <c r="F22" s="59">
        <f>_xlfn.XLOOKUP(E22,'Parametre Gantt'!$G$3:$G$16,'Parametre Gantt'!$H$3:$H$16,"")</f>
        <v>0</v>
      </c>
      <c r="G22" s="18"/>
      <c r="H22" s="18"/>
      <c r="I22" s="67"/>
      <c r="J22" s="21"/>
      <c r="K22" s="36" t="str">
        <f t="shared" si="36"/>
        <v/>
      </c>
      <c r="L22" s="18"/>
      <c r="M22" s="18"/>
      <c r="N22" s="27"/>
      <c r="O22" s="36" t="str">
        <f t="shared" si="37"/>
        <v/>
      </c>
      <c r="P22" s="2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CC22" t="str">
        <f>IF(AND($G26&lt;=Q$9, $H26&gt;=Q$9, ISNUMBER(FIND(LOWER('Parametre Gantt'!$A$3), LOWER($B26)))),'Parametre Gantt'!B16,"")</f>
        <v/>
      </c>
    </row>
    <row r="23" spans="1:82" ht="24.95" customHeight="1" x14ac:dyDescent="0.25">
      <c r="A23" s="40">
        <v>10</v>
      </c>
      <c r="B23" s="16" t="s">
        <v>50</v>
      </c>
      <c r="C23" s="17"/>
      <c r="D23" s="28">
        <f>IF(E23&lt;&gt;"",_xlfn.XLOOKUP(E23,'Parametre Gantt'!$G$3:$G$16,'Parametre Gantt'!$F$3:$F$16,""),0)</f>
        <v>0</v>
      </c>
      <c r="E23" s="17"/>
      <c r="F23" s="59">
        <f>_xlfn.XLOOKUP(E23,'Parametre Gantt'!$G$3:$G$16,'Parametre Gantt'!$H$3:$H$16,"")</f>
        <v>0</v>
      </c>
      <c r="G23" s="18"/>
      <c r="H23" s="18"/>
      <c r="I23" s="67"/>
      <c r="J23" s="21"/>
      <c r="K23" s="36" t="str">
        <f t="shared" si="36"/>
        <v/>
      </c>
      <c r="L23" s="18"/>
      <c r="M23" s="18"/>
      <c r="N23" s="27"/>
      <c r="O23" s="36" t="str">
        <f t="shared" si="37"/>
        <v/>
      </c>
      <c r="P23" s="2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</row>
    <row r="24" spans="1:82" ht="24.95" customHeight="1" x14ac:dyDescent="0.25">
      <c r="A24" s="40">
        <v>11</v>
      </c>
      <c r="B24" s="16"/>
      <c r="C24" s="17"/>
      <c r="D24" s="28">
        <f>IF(E24&lt;&gt;"",_xlfn.XLOOKUP(E24,'Parametre Gantt'!$G$3:$G$16,'Parametre Gantt'!$F$3:$F$16,""),0)</f>
        <v>0</v>
      </c>
      <c r="E24" s="17"/>
      <c r="F24" s="59">
        <f>_xlfn.XLOOKUP(E24,'Parametre Gantt'!$G$3:$G$16,'Parametre Gantt'!$H$3:$H$16,"")</f>
        <v>0</v>
      </c>
      <c r="G24" s="18"/>
      <c r="H24" s="18"/>
      <c r="I24" s="67"/>
      <c r="J24" s="21"/>
      <c r="K24" s="36" t="str">
        <f t="shared" si="36"/>
        <v/>
      </c>
      <c r="L24" s="18"/>
      <c r="M24" s="18"/>
      <c r="N24" s="27"/>
      <c r="O24" s="36" t="str">
        <f t="shared" si="37"/>
        <v/>
      </c>
      <c r="P24" s="2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CC24" t="str">
        <f>IF(AND($G27&lt;=Q$9, $H27&gt;=Q$9, ISNUMBER(FIND(LOWER('Parametre Gantt'!$A$3), LOWER($B27)))),'Parametre Gantt'!B17,"")</f>
        <v/>
      </c>
    </row>
    <row r="25" spans="1:82" ht="24.95" customHeight="1" x14ac:dyDescent="0.25">
      <c r="A25" s="40">
        <v>12</v>
      </c>
      <c r="B25" s="16"/>
      <c r="C25" s="17"/>
      <c r="D25" s="28">
        <f>IF(E25&lt;&gt;"",_xlfn.XLOOKUP(E25,'Parametre Gantt'!$G$3:$G$16,'Parametre Gantt'!$F$3:$F$16,""),0)</f>
        <v>0</v>
      </c>
      <c r="E25" s="17"/>
      <c r="F25" s="59">
        <f>_xlfn.XLOOKUP(E25,'Parametre Gantt'!$G$3:$G$16,'Parametre Gantt'!$H$3:$H$16,"")</f>
        <v>0</v>
      </c>
      <c r="G25" s="18"/>
      <c r="H25" s="18"/>
      <c r="I25" s="67"/>
      <c r="J25" s="21"/>
      <c r="K25" s="36" t="str">
        <f t="shared" si="36"/>
        <v/>
      </c>
      <c r="L25" s="18"/>
      <c r="M25" s="18"/>
      <c r="N25" s="27"/>
      <c r="O25" s="36" t="str">
        <f t="shared" si="37"/>
        <v/>
      </c>
      <c r="P25" s="2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</row>
    <row r="26" spans="1:82" ht="24.95" customHeight="1" x14ac:dyDescent="0.25">
      <c r="A26" s="40">
        <v>13</v>
      </c>
      <c r="B26" s="16"/>
      <c r="C26" s="17"/>
      <c r="D26" s="28">
        <f>IF(E26&lt;&gt;"",_xlfn.XLOOKUP(E26,'Parametre Gantt'!$G$3:$G$16,'Parametre Gantt'!$F$3:$F$16,""),0)</f>
        <v>0</v>
      </c>
      <c r="E26" s="17"/>
      <c r="F26" s="59">
        <f>_xlfn.XLOOKUP(E26,'Parametre Gantt'!$G$3:$G$16,'Parametre Gantt'!$H$3:$H$16,"")</f>
        <v>0</v>
      </c>
      <c r="G26" s="18"/>
      <c r="H26" s="18"/>
      <c r="I26" s="67"/>
      <c r="J26" s="21"/>
      <c r="K26" s="36" t="str">
        <f t="shared" si="36"/>
        <v/>
      </c>
      <c r="L26" s="18"/>
      <c r="M26" s="18"/>
      <c r="N26" s="27"/>
      <c r="O26" s="36" t="str">
        <f t="shared" si="37"/>
        <v/>
      </c>
      <c r="P26" s="2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CC26" t="str">
        <f>IF(AND($G30&lt;=Q$9, $H30&gt;=Q$9, ISNUMBER(FIND(LOWER('Parametre Gantt'!$A$3), LOWER($B30)))),'Parametre Gantt'!B18,"")</f>
        <v/>
      </c>
    </row>
    <row r="27" spans="1:82" ht="24.95" customHeight="1" x14ac:dyDescent="0.25">
      <c r="A27" s="40">
        <v>14</v>
      </c>
      <c r="B27" s="16"/>
      <c r="C27" s="17"/>
      <c r="D27" s="28">
        <f>IF(E27&lt;&gt;"",_xlfn.XLOOKUP(E27,'Parametre Gantt'!$G$3:$G$16,'Parametre Gantt'!$F$3:$F$16,""),0)</f>
        <v>0</v>
      </c>
      <c r="E27" s="17"/>
      <c r="F27" s="59">
        <f>_xlfn.XLOOKUP(E27,'Parametre Gantt'!$G$3:$G$16,'Parametre Gantt'!$H$3:$H$16,"")</f>
        <v>0</v>
      </c>
      <c r="G27" s="18"/>
      <c r="H27" s="18"/>
      <c r="I27" s="67"/>
      <c r="J27" s="21"/>
      <c r="K27" s="36" t="str">
        <f t="shared" si="36"/>
        <v/>
      </c>
      <c r="L27" s="18"/>
      <c r="M27" s="18"/>
      <c r="N27" s="27"/>
      <c r="O27" s="36" t="str">
        <f t="shared" si="37"/>
        <v/>
      </c>
      <c r="P27" s="2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CC27" t="str">
        <f>IF(AND($G31&lt;=Q$9, $H31&gt;=Q$9, ISNUMBER(FIND(LOWER('Parametre Gantt'!$A$3), LOWER($B31)))),'Parametre Gantt'!B19,"")</f>
        <v/>
      </c>
    </row>
    <row r="28" spans="1:82" ht="24.95" customHeight="1" x14ac:dyDescent="0.25">
      <c r="A28" s="40">
        <v>15</v>
      </c>
      <c r="B28" s="16"/>
      <c r="C28" s="17"/>
      <c r="D28" s="28">
        <f>IF(E28&lt;&gt;"",_xlfn.XLOOKUP(E28,'Parametre Gantt'!$G$3:$G$16,'Parametre Gantt'!$F$3:$F$16,""),0)</f>
        <v>0</v>
      </c>
      <c r="E28" s="17"/>
      <c r="F28" s="59">
        <f>_xlfn.XLOOKUP(E28,'Parametre Gantt'!$G$3:$G$16,'Parametre Gantt'!$H$3:$H$16,"")</f>
        <v>0</v>
      </c>
      <c r="G28" s="18"/>
      <c r="H28" s="18"/>
      <c r="I28" s="67"/>
      <c r="J28" s="21"/>
      <c r="K28" s="36" t="str">
        <f t="shared" si="36"/>
        <v/>
      </c>
      <c r="L28" s="18"/>
      <c r="M28" s="18"/>
      <c r="N28" s="27"/>
      <c r="O28" s="36" t="str">
        <f t="shared" si="37"/>
        <v/>
      </c>
      <c r="P28" s="2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</row>
    <row r="29" spans="1:82" ht="24.95" customHeight="1" x14ac:dyDescent="0.25">
      <c r="A29" s="40">
        <v>16</v>
      </c>
      <c r="B29" s="16"/>
      <c r="C29" s="17"/>
      <c r="D29" s="28"/>
      <c r="E29" s="17"/>
      <c r="F29" s="59"/>
      <c r="G29" s="18"/>
      <c r="H29" s="18"/>
      <c r="I29" s="67"/>
      <c r="J29" s="21"/>
      <c r="K29" s="36" t="str">
        <f t="shared" si="36"/>
        <v/>
      </c>
      <c r="L29" s="18"/>
      <c r="M29" s="18"/>
      <c r="N29" s="27"/>
      <c r="O29" s="36" t="str">
        <f t="shared" si="37"/>
        <v/>
      </c>
      <c r="P29" s="2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</row>
    <row r="30" spans="1:82" ht="24.95" customHeight="1" x14ac:dyDescent="0.25">
      <c r="A30" s="40">
        <v>17</v>
      </c>
      <c r="B30" s="16"/>
      <c r="C30" s="17"/>
      <c r="D30" s="28">
        <f>IF(E30&lt;&gt;"",_xlfn.XLOOKUP(E30,'Parametre Gantt'!$G$3:$G$16,'Parametre Gantt'!$F$3:$F$16,""),0)</f>
        <v>0</v>
      </c>
      <c r="E30" s="17"/>
      <c r="F30" s="59">
        <f>_xlfn.XLOOKUP(E30,'Parametre Gantt'!$G$3:$G$16,'Parametre Gantt'!$H$3:$H$16,"")</f>
        <v>0</v>
      </c>
      <c r="G30" s="18"/>
      <c r="H30" s="18"/>
      <c r="I30" s="67"/>
      <c r="J30" s="21"/>
      <c r="K30" s="36" t="str">
        <f t="shared" si="36"/>
        <v/>
      </c>
      <c r="L30" s="18"/>
      <c r="M30" s="18"/>
      <c r="N30" s="27"/>
      <c r="O30" s="36" t="str">
        <f t="shared" si="37"/>
        <v/>
      </c>
      <c r="P30" s="2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CC30" t="str">
        <f>IF(AND($G33&lt;=Q$9, $H33&gt;=Q$9, ISNUMBER(FIND(LOWER('Parametre Gantt'!$A$3), LOWER($B33)))),'Parametre Gantt'!B20,"")</f>
        <v/>
      </c>
    </row>
    <row r="31" spans="1:82" ht="24.95" customHeight="1" x14ac:dyDescent="0.25">
      <c r="A31" s="40">
        <v>18</v>
      </c>
      <c r="B31" s="16"/>
      <c r="C31" s="17"/>
      <c r="D31" s="28">
        <f>IF(E31&lt;&gt;"",_xlfn.XLOOKUP(E31,'Parametre Gantt'!$G$3:$G$16,'Parametre Gantt'!$F$3:$F$16,""),0)</f>
        <v>0</v>
      </c>
      <c r="E31" s="17"/>
      <c r="F31" s="59">
        <f>_xlfn.XLOOKUP(E31,'Parametre Gantt'!$G$3:$G$16,'Parametre Gantt'!$H$3:$H$16,"")</f>
        <v>0</v>
      </c>
      <c r="G31" s="18"/>
      <c r="H31" s="18"/>
      <c r="I31" s="67"/>
      <c r="J31" s="21"/>
      <c r="K31" s="36" t="str">
        <f t="shared" si="36"/>
        <v/>
      </c>
      <c r="L31" s="18"/>
      <c r="M31" s="18"/>
      <c r="N31" s="27"/>
      <c r="O31" s="36" t="str">
        <f t="shared" si="37"/>
        <v/>
      </c>
      <c r="P31" s="2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CC31" t="str">
        <f>IF(AND($G34&lt;=Q$9, $H34&gt;=Q$9, ISNUMBER(FIND(LOWER('Parametre Gantt'!$A$3), LOWER($B34)))),'Parametre Gantt'!B21,"")</f>
        <v/>
      </c>
    </row>
    <row r="32" spans="1:82" ht="24.95" customHeight="1" x14ac:dyDescent="0.25">
      <c r="A32" s="40">
        <v>19</v>
      </c>
      <c r="B32" s="16"/>
      <c r="C32" s="17"/>
      <c r="D32" s="28">
        <f>IF(E32&lt;&gt;"",_xlfn.XLOOKUP(E32,'Parametre Gantt'!$G$3:$G$16,'Parametre Gantt'!$F$3:$F$16,""),0)</f>
        <v>0</v>
      </c>
      <c r="E32" s="17"/>
      <c r="F32" s="59">
        <f>_xlfn.XLOOKUP(E32,'Parametre Gantt'!$G$3:$G$16,'Parametre Gantt'!$H$3:$H$16,"")</f>
        <v>0</v>
      </c>
      <c r="G32" s="18"/>
      <c r="H32" s="18"/>
      <c r="I32" s="67"/>
      <c r="J32" s="21"/>
      <c r="K32" s="36" t="str">
        <f t="shared" si="36"/>
        <v/>
      </c>
      <c r="L32" s="18"/>
      <c r="M32" s="18"/>
      <c r="N32" s="27"/>
      <c r="O32" s="36" t="str">
        <f t="shared" si="37"/>
        <v/>
      </c>
      <c r="P32" s="2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</row>
    <row r="33" spans="1:76" ht="24.95" customHeight="1" x14ac:dyDescent="0.25">
      <c r="A33" s="40">
        <v>20</v>
      </c>
      <c r="B33" s="16"/>
      <c r="C33" s="17"/>
      <c r="D33" s="28">
        <f>IF(E33&lt;&gt;"",_xlfn.XLOOKUP(E33,'Parametre Gantt'!$G$3:$G$16,'Parametre Gantt'!$F$3:$F$16,""),0)</f>
        <v>0</v>
      </c>
      <c r="E33" s="17"/>
      <c r="F33" s="59">
        <f>_xlfn.XLOOKUP(E33,'Parametre Gantt'!$G$3:$G$16,'Parametre Gantt'!$H$3:$H$16,"")</f>
        <v>0</v>
      </c>
      <c r="G33" s="18"/>
      <c r="H33" s="18"/>
      <c r="I33" s="67"/>
      <c r="J33" s="21"/>
      <c r="K33" s="36" t="str">
        <f t="shared" si="36"/>
        <v/>
      </c>
      <c r="L33" s="18"/>
      <c r="M33" s="18"/>
      <c r="N33" s="27"/>
      <c r="O33" s="36" t="str">
        <f t="shared" si="37"/>
        <v/>
      </c>
      <c r="P33" s="2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</row>
    <row r="34" spans="1:76" ht="24.95" customHeight="1" x14ac:dyDescent="0.25">
      <c r="A34" s="40">
        <v>21</v>
      </c>
      <c r="B34" s="16"/>
      <c r="C34" s="17"/>
      <c r="D34" s="28">
        <f>IF(E34&lt;&gt;"",_xlfn.XLOOKUP(E34,'Parametre Gantt'!$G$3:$G$16,'Parametre Gantt'!$F$3:$F$16,""),0)</f>
        <v>0</v>
      </c>
      <c r="E34" s="17"/>
      <c r="F34" s="59">
        <f>_xlfn.XLOOKUP(E34,'Parametre Gantt'!$G$3:$G$16,'Parametre Gantt'!$H$3:$H$16,"")</f>
        <v>0</v>
      </c>
      <c r="G34" s="18"/>
      <c r="H34" s="18"/>
      <c r="I34" s="67"/>
      <c r="J34" s="21"/>
      <c r="K34" s="36" t="str">
        <f t="shared" si="36"/>
        <v/>
      </c>
      <c r="L34" s="18"/>
      <c r="M34" s="18"/>
      <c r="N34" s="27"/>
      <c r="O34" s="36" t="str">
        <f t="shared" si="37"/>
        <v/>
      </c>
      <c r="P34" s="2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</row>
    <row r="35" spans="1:76" ht="24.95" customHeight="1" x14ac:dyDescent="0.25">
      <c r="A35" s="40">
        <v>21.1</v>
      </c>
      <c r="B35" s="16"/>
      <c r="C35" s="17"/>
      <c r="D35" s="28">
        <f>IF(E35&lt;&gt;"",_xlfn.XLOOKUP(E35,'Parametre Gantt'!$G$3:$G$16,'Parametre Gantt'!$F$3:$F$16,""),0)</f>
        <v>0</v>
      </c>
      <c r="E35" s="17"/>
      <c r="F35" s="59">
        <f>_xlfn.XLOOKUP(E35,'Parametre Gantt'!$G$3:$G$16,'Parametre Gantt'!$H$3:$H$16,"")</f>
        <v>0</v>
      </c>
      <c r="G35" s="18"/>
      <c r="H35" s="18"/>
      <c r="I35" s="67"/>
      <c r="J35" s="21"/>
      <c r="K35" s="36" t="str">
        <f t="shared" si="36"/>
        <v/>
      </c>
      <c r="L35" s="18"/>
      <c r="M35" s="18"/>
      <c r="N35" s="27"/>
      <c r="O35" s="36" t="str">
        <f t="shared" si="37"/>
        <v/>
      </c>
      <c r="P35" s="2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</row>
    <row r="36" spans="1:76" ht="24.95" customHeight="1" x14ac:dyDescent="0.25">
      <c r="A36" s="40">
        <v>21.2</v>
      </c>
      <c r="B36" s="16"/>
      <c r="C36" s="17"/>
      <c r="D36" s="28">
        <f>IF(E36&lt;&gt;"",_xlfn.XLOOKUP(E36,'Parametre Gantt'!$G$3:$G$16,'Parametre Gantt'!$F$3:$F$16,""),0)</f>
        <v>0</v>
      </c>
      <c r="E36" s="17"/>
      <c r="F36" s="59">
        <f>_xlfn.XLOOKUP(E36,'Parametre Gantt'!$G$3:$G$16,'Parametre Gantt'!$H$3:$H$16,"")</f>
        <v>0</v>
      </c>
      <c r="G36" s="18"/>
      <c r="H36" s="18"/>
      <c r="I36" s="67"/>
      <c r="J36" s="21"/>
      <c r="K36" s="36"/>
      <c r="L36" s="18"/>
      <c r="M36" s="18"/>
      <c r="N36" s="27"/>
      <c r="O36" s="36"/>
      <c r="P36" s="2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</row>
    <row r="37" spans="1:76" ht="24.95" customHeight="1" x14ac:dyDescent="0.25">
      <c r="A37" s="40">
        <v>21.3</v>
      </c>
      <c r="B37" s="16"/>
      <c r="C37" s="17"/>
      <c r="D37" s="28">
        <f>IF(E37&lt;&gt;"",_xlfn.XLOOKUP(E37,'Parametre Gantt'!$G$3:$G$16,'Parametre Gantt'!$F$3:$F$16,""),0)</f>
        <v>0</v>
      </c>
      <c r="E37" s="17"/>
      <c r="F37" s="59">
        <f>_xlfn.XLOOKUP(E37,'Parametre Gantt'!$G$3:$G$16,'Parametre Gantt'!$H$3:$H$16,"")</f>
        <v>0</v>
      </c>
      <c r="G37" s="18"/>
      <c r="H37" s="18"/>
      <c r="I37" s="67"/>
      <c r="J37" s="21"/>
      <c r="K37" s="36"/>
      <c r="L37" s="18"/>
      <c r="M37" s="18"/>
      <c r="N37" s="27"/>
      <c r="O37" s="36"/>
      <c r="P37" s="2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ht="24.95" customHeight="1" x14ac:dyDescent="0.25">
      <c r="A38" s="40">
        <v>21.4</v>
      </c>
      <c r="B38" s="16"/>
      <c r="C38" s="17"/>
      <c r="D38" s="28">
        <f>IF(E38&lt;&gt;"",_xlfn.XLOOKUP(E38,'Parametre Gantt'!$G$3:$G$16,'Parametre Gantt'!$F$3:$F$16,""),0)</f>
        <v>0</v>
      </c>
      <c r="E38" s="17"/>
      <c r="F38" s="59">
        <f>_xlfn.XLOOKUP(E38,'Parametre Gantt'!$G$3:$G$16,'Parametre Gantt'!$H$3:$H$16,"")</f>
        <v>0</v>
      </c>
      <c r="G38" s="18"/>
      <c r="H38" s="18"/>
      <c r="I38" s="67"/>
      <c r="J38" s="21"/>
      <c r="K38" s="36"/>
      <c r="L38" s="18"/>
      <c r="M38" s="18"/>
      <c r="N38" s="27"/>
      <c r="O38" s="36"/>
      <c r="P38" s="2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</row>
    <row r="39" spans="1:76" ht="24.95" customHeight="1" x14ac:dyDescent="0.25">
      <c r="A39" s="40">
        <v>21.5</v>
      </c>
      <c r="B39" s="16"/>
      <c r="C39" s="17"/>
      <c r="D39" s="28">
        <f>IF(E39&lt;&gt;"",_xlfn.XLOOKUP(E39,'Parametre Gantt'!$G$3:$G$16,'Parametre Gantt'!$F$3:$F$16,""),0)</f>
        <v>0</v>
      </c>
      <c r="E39" s="17"/>
      <c r="F39" s="59">
        <f>_xlfn.XLOOKUP(E39,'Parametre Gantt'!$G$3:$G$16,'Parametre Gantt'!$H$3:$H$16,"")</f>
        <v>0</v>
      </c>
      <c r="G39" s="18"/>
      <c r="H39" s="18"/>
      <c r="I39" s="67"/>
      <c r="J39" s="21"/>
      <c r="K39" s="36"/>
      <c r="L39" s="18"/>
      <c r="M39" s="18"/>
      <c r="N39" s="27"/>
      <c r="O39" s="36"/>
      <c r="P39" s="2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</row>
    <row r="40" spans="1:76" ht="24.95" customHeight="1" x14ac:dyDescent="0.25">
      <c r="A40" s="40">
        <v>21.6</v>
      </c>
      <c r="B40" s="16"/>
      <c r="C40" s="17"/>
      <c r="D40" s="28">
        <f>IF(E40&lt;&gt;"",_xlfn.XLOOKUP(E40,'Parametre Gantt'!$G$3:$G$16,'Parametre Gantt'!$F$3:$F$16,""),0)</f>
        <v>0</v>
      </c>
      <c r="E40" s="17"/>
      <c r="F40" s="59">
        <f>_xlfn.XLOOKUP(E40,'Parametre Gantt'!$G$3:$G$16,'Parametre Gantt'!$H$3:$H$16,"")</f>
        <v>0</v>
      </c>
      <c r="G40" s="18"/>
      <c r="H40" s="18"/>
      <c r="I40" s="67"/>
      <c r="J40" s="21"/>
      <c r="K40" s="36"/>
      <c r="L40" s="18"/>
      <c r="M40" s="18"/>
      <c r="N40" s="27"/>
      <c r="O40" s="36"/>
      <c r="P40" s="2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</row>
    <row r="41" spans="1:76" ht="24.95" customHeight="1" x14ac:dyDescent="0.25">
      <c r="A41" s="40">
        <v>21.7</v>
      </c>
      <c r="B41" s="16"/>
      <c r="C41" s="17"/>
      <c r="D41" s="28">
        <f>IF(E41&lt;&gt;"",_xlfn.XLOOKUP(E41,'Parametre Gantt'!$G$3:$G$16,'Parametre Gantt'!$F$3:$F$16,""),0)</f>
        <v>0</v>
      </c>
      <c r="E41" s="17"/>
      <c r="F41" s="59">
        <f>_xlfn.XLOOKUP(E41,'Parametre Gantt'!$G$3:$G$16,'Parametre Gantt'!$H$3:$H$16,"")</f>
        <v>0</v>
      </c>
      <c r="G41" s="18"/>
      <c r="H41" s="18"/>
      <c r="I41" s="67"/>
      <c r="J41" s="21"/>
      <c r="K41" s="36"/>
      <c r="L41" s="18"/>
      <c r="M41" s="18"/>
      <c r="N41" s="27"/>
      <c r="O41" s="36"/>
      <c r="P41" s="2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</row>
    <row r="42" spans="1:76" ht="24.95" customHeight="1" x14ac:dyDescent="0.25">
      <c r="A42" s="40">
        <v>21.8</v>
      </c>
      <c r="B42" s="16"/>
      <c r="C42" s="17"/>
      <c r="D42" s="28">
        <f>IF(E42&lt;&gt;"",_xlfn.XLOOKUP(E42,'Parametre Gantt'!$G$3:$G$16,'Parametre Gantt'!$F$3:$F$16,""),0)</f>
        <v>0</v>
      </c>
      <c r="E42" s="17"/>
      <c r="F42" s="59">
        <f>_xlfn.XLOOKUP(E42,'Parametre Gantt'!$G$3:$G$16,'Parametre Gantt'!$H$3:$H$16,"")</f>
        <v>0</v>
      </c>
      <c r="G42" s="18"/>
      <c r="H42" s="18"/>
      <c r="I42" s="67"/>
      <c r="J42" s="21"/>
      <c r="K42" s="36"/>
      <c r="L42" s="18"/>
      <c r="M42" s="18"/>
      <c r="N42" s="27"/>
      <c r="O42" s="36"/>
      <c r="P42" s="2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</row>
    <row r="43" spans="1:76" ht="24.95" customHeight="1" x14ac:dyDescent="0.25">
      <c r="A43" s="40">
        <v>21.9</v>
      </c>
      <c r="B43" s="16"/>
      <c r="C43" s="17"/>
      <c r="D43" s="28">
        <f>IF(E43&lt;&gt;"",_xlfn.XLOOKUP(E43,'Parametre Gantt'!$G$3:$G$16,'Parametre Gantt'!$F$3:$F$16,""),0)</f>
        <v>0</v>
      </c>
      <c r="E43" s="17"/>
      <c r="F43" s="59">
        <f>_xlfn.XLOOKUP(E43,'Parametre Gantt'!$G$3:$G$16,'Parametre Gantt'!$H$3:$H$16,"")</f>
        <v>0</v>
      </c>
      <c r="G43" s="18"/>
      <c r="H43" s="18"/>
      <c r="I43" s="67"/>
      <c r="J43" s="21"/>
      <c r="K43" s="36"/>
      <c r="L43" s="18"/>
      <c r="M43" s="18"/>
      <c r="N43" s="27"/>
      <c r="O43" s="36"/>
      <c r="P43" s="2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ht="24.75" customHeight="1" x14ac:dyDescent="0.25">
      <c r="A44" s="40">
        <v>21.1</v>
      </c>
      <c r="B44" s="16"/>
      <c r="C44" s="17"/>
      <c r="D44" s="28">
        <f>IF(E44&lt;&gt;"",_xlfn.XLOOKUP(E44,'Parametre Gantt'!$G$3:$G$16,'Parametre Gantt'!$F$3:$F$16,""),0)</f>
        <v>0</v>
      </c>
      <c r="E44" s="17"/>
      <c r="F44" s="59">
        <f>_xlfn.XLOOKUP(E44,'Parametre Gantt'!$G$3:$G$16,'Parametre Gantt'!$H$3:$H$16,"")</f>
        <v>0</v>
      </c>
      <c r="G44" s="18"/>
      <c r="H44" s="18"/>
      <c r="I44" s="67"/>
      <c r="J44" s="21"/>
      <c r="K44" s="36"/>
      <c r="L44" s="18"/>
      <c r="M44" s="18"/>
      <c r="N44" s="27"/>
      <c r="O44" s="36"/>
      <c r="P44" s="2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</row>
    <row r="45" spans="1:76" ht="24.75" customHeight="1" x14ac:dyDescent="0.25">
      <c r="A45" s="40">
        <v>21.11</v>
      </c>
      <c r="B45" s="16"/>
      <c r="C45" s="17"/>
      <c r="D45" s="28">
        <f>IF(E45&lt;&gt;"",_xlfn.XLOOKUP(E45,'Parametre Gantt'!$G$3:$G$16,'Parametre Gantt'!$F$3:$F$16,""),0)</f>
        <v>0</v>
      </c>
      <c r="E45" s="17"/>
      <c r="F45" s="59">
        <f>_xlfn.XLOOKUP(E45,'Parametre Gantt'!$G$3:$G$16,'Parametre Gantt'!$H$3:$H$16,"")</f>
        <v>0</v>
      </c>
      <c r="G45" s="18"/>
      <c r="H45" s="18"/>
      <c r="I45" s="67"/>
      <c r="J45" s="21"/>
      <c r="K45" s="36"/>
      <c r="L45" s="18"/>
      <c r="M45" s="18"/>
      <c r="N45" s="27"/>
      <c r="O45" s="36"/>
      <c r="P45" s="2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</row>
    <row r="46" spans="1:76" ht="24.75" customHeight="1" x14ac:dyDescent="0.25">
      <c r="A46" s="40">
        <v>21.12</v>
      </c>
      <c r="B46" s="16"/>
      <c r="C46" s="17"/>
      <c r="D46" s="28">
        <f>IF(E46&lt;&gt;"",_xlfn.XLOOKUP(E46,'Parametre Gantt'!$G$3:$G$16,'Parametre Gantt'!$F$3:$F$16,""),0)</f>
        <v>0</v>
      </c>
      <c r="E46" s="17"/>
      <c r="F46" s="59">
        <f>_xlfn.XLOOKUP(E46,'Parametre Gantt'!$G$3:$G$16,'Parametre Gantt'!$H$3:$H$16,"")</f>
        <v>0</v>
      </c>
      <c r="G46" s="18"/>
      <c r="H46" s="18"/>
      <c r="I46" s="67"/>
      <c r="J46" s="21"/>
      <c r="K46" s="36"/>
      <c r="L46" s="18"/>
      <c r="M46" s="18"/>
      <c r="N46" s="27"/>
      <c r="O46" s="36"/>
      <c r="P46" s="2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</row>
    <row r="47" spans="1:76" ht="24.75" customHeight="1" x14ac:dyDescent="0.25">
      <c r="A47" s="40">
        <v>21.13</v>
      </c>
      <c r="B47" s="16"/>
      <c r="C47" s="17"/>
      <c r="D47" s="28">
        <f>IF(E47&lt;&gt;"",_xlfn.XLOOKUP(E47,'Parametre Gantt'!$G$3:$G$16,'Parametre Gantt'!$F$3:$F$16,""),0)</f>
        <v>0</v>
      </c>
      <c r="E47" s="17"/>
      <c r="F47" s="59">
        <f>_xlfn.XLOOKUP(E47,'Parametre Gantt'!$G$3:$G$16,'Parametre Gantt'!$H$3:$H$16,"")</f>
        <v>0</v>
      </c>
      <c r="G47" s="18"/>
      <c r="H47" s="18"/>
      <c r="I47" s="67"/>
      <c r="J47" s="21"/>
      <c r="K47" s="36"/>
      <c r="L47" s="18"/>
      <c r="M47" s="18"/>
      <c r="N47" s="27"/>
      <c r="O47" s="36"/>
      <c r="P47" s="2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</row>
    <row r="48" spans="1:76" ht="24.75" customHeight="1" x14ac:dyDescent="0.25">
      <c r="A48" s="40">
        <v>21.14</v>
      </c>
      <c r="B48" s="16"/>
      <c r="C48" s="17"/>
      <c r="D48" s="28">
        <f>IF(E48&lt;&gt;"",_xlfn.XLOOKUP(E48,'Parametre Gantt'!$G$3:$G$16,'Parametre Gantt'!$F$3:$F$16,""),0)</f>
        <v>0</v>
      </c>
      <c r="E48" s="17"/>
      <c r="F48" s="59">
        <f>_xlfn.XLOOKUP(E48,'Parametre Gantt'!$G$3:$G$16,'Parametre Gantt'!$H$3:$H$16,"")</f>
        <v>0</v>
      </c>
      <c r="G48" s="18"/>
      <c r="H48" s="18"/>
      <c r="I48" s="67"/>
      <c r="J48" s="21"/>
      <c r="K48" s="36"/>
      <c r="L48" s="18"/>
      <c r="M48" s="18"/>
      <c r="N48" s="27"/>
      <c r="O48" s="36"/>
      <c r="P48" s="2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</row>
    <row r="49" spans="1:76" ht="24.75" customHeight="1" x14ac:dyDescent="0.25">
      <c r="A49" s="40">
        <v>21.15</v>
      </c>
      <c r="B49" s="16"/>
      <c r="C49" s="17"/>
      <c r="D49" s="28">
        <f>IF(E49&lt;&gt;"",_xlfn.XLOOKUP(E49,'Parametre Gantt'!$G$3:$G$16,'Parametre Gantt'!$F$3:$F$16,""),0)</f>
        <v>0</v>
      </c>
      <c r="E49" s="17"/>
      <c r="F49" s="59">
        <f>_xlfn.XLOOKUP(E49,'Parametre Gantt'!$G$3:$G$16,'Parametre Gantt'!$H$3:$H$16,"")</f>
        <v>0</v>
      </c>
      <c r="G49" s="18"/>
      <c r="H49" s="18"/>
      <c r="I49" s="67"/>
      <c r="J49" s="21"/>
      <c r="K49" s="36"/>
      <c r="L49" s="18"/>
      <c r="M49" s="18"/>
      <c r="N49" s="27"/>
      <c r="O49" s="36"/>
      <c r="P49" s="2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</row>
    <row r="50" spans="1:76" ht="24.75" customHeight="1" x14ac:dyDescent="0.25">
      <c r="A50" s="40">
        <v>21.16</v>
      </c>
      <c r="B50" s="16"/>
      <c r="C50" s="17"/>
      <c r="D50" s="28">
        <f>IF(E50&lt;&gt;"",_xlfn.XLOOKUP(E50,'Parametre Gantt'!$G$3:$G$16,'Parametre Gantt'!$F$3:$F$16,""),0)</f>
        <v>0</v>
      </c>
      <c r="E50" s="17"/>
      <c r="F50" s="59">
        <f>_xlfn.XLOOKUP(E50,'Parametre Gantt'!$G$3:$G$16,'Parametre Gantt'!$H$3:$H$16,"")</f>
        <v>0</v>
      </c>
      <c r="G50" s="18"/>
      <c r="H50" s="18"/>
      <c r="I50" s="67"/>
      <c r="J50" s="21"/>
      <c r="K50" s="36"/>
      <c r="L50" s="18"/>
      <c r="M50" s="18"/>
      <c r="N50" s="27"/>
      <c r="O50" s="36"/>
      <c r="P50" s="2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</row>
    <row r="51" spans="1:76" ht="24.95" customHeight="1" x14ac:dyDescent="0.25">
      <c r="A51" s="40">
        <v>21.17</v>
      </c>
      <c r="B51" s="16"/>
      <c r="C51" s="17"/>
      <c r="D51" s="28">
        <f>IF(E51&lt;&gt;"",_xlfn.XLOOKUP(E51,'Parametre Gantt'!$G$3:$G$16,'Parametre Gantt'!$F$3:$F$16,""),0)</f>
        <v>0</v>
      </c>
      <c r="E51" s="17"/>
      <c r="F51" s="59">
        <f>_xlfn.XLOOKUP(E51,'Parametre Gantt'!$G$3:$G$16,'Parametre Gantt'!$H$3:$H$16,"")</f>
        <v>0</v>
      </c>
      <c r="G51" s="18"/>
      <c r="H51" s="18"/>
      <c r="I51" s="67"/>
      <c r="J51" s="21"/>
      <c r="K51" s="36"/>
      <c r="L51" s="18"/>
      <c r="M51" s="18"/>
      <c r="N51" s="27"/>
      <c r="O51" s="36"/>
      <c r="P51" s="2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</row>
    <row r="52" spans="1:76" ht="24.95" customHeight="1" x14ac:dyDescent="0.25">
      <c r="A52" s="40">
        <v>21.18</v>
      </c>
      <c r="B52" s="16"/>
      <c r="C52" s="17"/>
      <c r="D52" s="28">
        <f>IF(E52&lt;&gt;"",_xlfn.XLOOKUP(E52,'Parametre Gantt'!$G$3:$G$16,'Parametre Gantt'!$F$3:$F$16,""),0)</f>
        <v>0</v>
      </c>
      <c r="E52" s="17"/>
      <c r="F52" s="59">
        <f>_xlfn.XLOOKUP(E52,'Parametre Gantt'!$G$3:$G$16,'Parametre Gantt'!$H$3:$H$16,"")</f>
        <v>0</v>
      </c>
      <c r="G52" s="18"/>
      <c r="H52" s="18"/>
      <c r="I52" s="67"/>
      <c r="J52" s="21"/>
      <c r="K52" s="36"/>
      <c r="L52" s="18"/>
      <c r="M52" s="18"/>
      <c r="N52" s="27"/>
      <c r="O52" s="36"/>
      <c r="P52" s="2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</row>
    <row r="53" spans="1:76" ht="24.95" customHeight="1" x14ac:dyDescent="0.25">
      <c r="A53" s="40"/>
      <c r="B53" s="16"/>
      <c r="C53" s="17"/>
      <c r="D53" s="28">
        <f>IF(E53&lt;&gt;"",_xlfn.XLOOKUP(E53,'Parametre Gantt'!$G$3:$G$16,'Parametre Gantt'!$F$3:$F$16,""),0)</f>
        <v>0</v>
      </c>
      <c r="E53" s="17"/>
      <c r="F53" s="59">
        <f>_xlfn.XLOOKUP(E53,'Parametre Gantt'!$G$3:$G$16,'Parametre Gantt'!$H$3:$H$16,"")</f>
        <v>0</v>
      </c>
      <c r="G53" s="18"/>
      <c r="H53" s="18"/>
      <c r="I53" s="67"/>
      <c r="J53" s="21"/>
      <c r="K53" s="36" t="str">
        <f t="shared" si="36"/>
        <v/>
      </c>
      <c r="L53" s="18"/>
      <c r="M53" s="18"/>
      <c r="N53" s="27"/>
      <c r="O53" s="36" t="str">
        <f t="shared" si="37"/>
        <v/>
      </c>
      <c r="P53" s="2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</row>
    <row r="54" spans="1:76" ht="24.95" customHeight="1" x14ac:dyDescent="0.25">
      <c r="A54" s="40"/>
      <c r="B54" s="16"/>
      <c r="C54" s="17"/>
      <c r="D54" s="28">
        <f>IF(E54&lt;&gt;"",_xlfn.XLOOKUP(E54,'Parametre Gantt'!$G$3:$G$16,'Parametre Gantt'!$F$3:$F$16,""),0)</f>
        <v>0</v>
      </c>
      <c r="E54" s="17"/>
      <c r="F54" s="59">
        <f>_xlfn.XLOOKUP(E54,'Parametre Gantt'!$G$3:$G$16,'Parametre Gantt'!$H$3:$H$16,"")</f>
        <v>0</v>
      </c>
      <c r="G54" s="18"/>
      <c r="H54" s="18"/>
      <c r="I54" s="67"/>
      <c r="J54" s="21"/>
      <c r="K54" s="36"/>
      <c r="L54" s="18"/>
      <c r="M54" s="18"/>
      <c r="N54" s="27"/>
      <c r="O54" s="36"/>
      <c r="P54" s="2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</row>
    <row r="55" spans="1:76" ht="24.95" customHeight="1" x14ac:dyDescent="0.25">
      <c r="A55" s="40"/>
      <c r="B55" s="16"/>
      <c r="C55" s="17"/>
      <c r="D55" s="28">
        <f>IF(E55&lt;&gt;"",_xlfn.XLOOKUP(E55,'Parametre Gantt'!$G$3:$G$16,'Parametre Gantt'!$F$3:$F$16,""),0)</f>
        <v>0</v>
      </c>
      <c r="E55" s="17"/>
      <c r="F55" s="59">
        <f>_xlfn.XLOOKUP(E55,'Parametre Gantt'!$G$3:$G$16,'Parametre Gantt'!$H$3:$H$16,"")</f>
        <v>0</v>
      </c>
      <c r="G55" s="18"/>
      <c r="H55" s="18"/>
      <c r="I55" s="67"/>
      <c r="J55" s="21"/>
      <c r="K55" s="36" t="str">
        <f t="shared" si="36"/>
        <v/>
      </c>
      <c r="L55" s="18"/>
      <c r="M55" s="18"/>
      <c r="N55" s="27"/>
      <c r="O55" s="36" t="str">
        <f t="shared" si="37"/>
        <v/>
      </c>
      <c r="P55" s="2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</row>
    <row r="56" spans="1:76" ht="24.95" customHeight="1" x14ac:dyDescent="0.25">
      <c r="A56" s="40"/>
      <c r="B56" s="16"/>
      <c r="C56" s="17"/>
      <c r="D56" s="28">
        <f>IF(E56&lt;&gt;"",_xlfn.XLOOKUP(E56,'Parametre Gantt'!$G$3:$G$16,'Parametre Gantt'!$F$3:$F$16,""),0)</f>
        <v>0</v>
      </c>
      <c r="E56" s="17"/>
      <c r="F56" s="59">
        <f>_xlfn.XLOOKUP(E56,'Parametre Gantt'!$G$3:$G$16,'Parametre Gantt'!$H$3:$H$16,"")</f>
        <v>0</v>
      </c>
      <c r="G56" s="18"/>
      <c r="H56" s="18"/>
      <c r="I56" s="67"/>
      <c r="J56" s="21"/>
      <c r="K56" s="36" t="str">
        <f t="shared" si="36"/>
        <v/>
      </c>
      <c r="L56" s="18"/>
      <c r="M56" s="18"/>
      <c r="N56" s="27"/>
      <c r="O56" s="36" t="str">
        <f t="shared" si="37"/>
        <v/>
      </c>
      <c r="P56" s="2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</row>
    <row r="57" spans="1:76" ht="24.95" customHeight="1" x14ac:dyDescent="0.25">
      <c r="A57" s="40"/>
      <c r="B57" s="16"/>
      <c r="C57" s="17"/>
      <c r="D57" s="28">
        <f>IF(E57&lt;&gt;"",_xlfn.XLOOKUP(E57,'Parametre Gantt'!$G$3:$G$16,'Parametre Gantt'!$F$3:$F$16,""),0)</f>
        <v>0</v>
      </c>
      <c r="E57" s="17"/>
      <c r="F57" s="59">
        <f>_xlfn.XLOOKUP(E57,'Parametre Gantt'!$G$3:$G$16,'Parametre Gantt'!$H$3:$H$16,"")</f>
        <v>0</v>
      </c>
      <c r="G57" s="18"/>
      <c r="H57" s="18"/>
      <c r="I57" s="67"/>
      <c r="J57" s="21"/>
      <c r="K57" s="36" t="str">
        <f t="shared" si="36"/>
        <v/>
      </c>
      <c r="L57" s="18"/>
      <c r="M57" s="18"/>
      <c r="N57" s="27"/>
      <c r="O57" s="36" t="str">
        <f t="shared" si="37"/>
        <v/>
      </c>
      <c r="P57" s="2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</row>
    <row r="58" spans="1:76" x14ac:dyDescent="0.25">
      <c r="A58" s="53"/>
      <c r="B58" s="53"/>
      <c r="C58" s="53"/>
      <c r="D58" s="54"/>
      <c r="E58" s="53"/>
      <c r="F58" s="55"/>
      <c r="G58" s="53"/>
      <c r="H58" s="53"/>
      <c r="I58" s="53"/>
      <c r="J58" s="53"/>
      <c r="K58" s="56">
        <f>SUM(K14:K57)</f>
        <v>12</v>
      </c>
      <c r="L58" s="53"/>
      <c r="M58" s="53"/>
      <c r="N58" s="53">
        <f>SUM(N14:N57)</f>
        <v>0</v>
      </c>
      <c r="O58" s="56">
        <f>SUM(O14:O57)</f>
        <v>0</v>
      </c>
      <c r="P58" s="53"/>
      <c r="Q58" s="57" t="str">
        <f t="shared" ref="Q58:AS58" ca="1" si="38">IF(Q9=TODAY(),"TD","")</f>
        <v/>
      </c>
      <c r="R58" s="57" t="str">
        <f t="shared" ca="1" si="38"/>
        <v/>
      </c>
      <c r="S58" s="57" t="str">
        <f t="shared" ca="1" si="38"/>
        <v/>
      </c>
      <c r="T58" s="57" t="str">
        <f t="shared" ca="1" si="38"/>
        <v/>
      </c>
      <c r="U58" s="57" t="str">
        <f t="shared" ca="1" si="38"/>
        <v>TD</v>
      </c>
      <c r="V58" s="57" t="str">
        <f t="shared" ca="1" si="38"/>
        <v/>
      </c>
      <c r="W58" s="57" t="str">
        <f t="shared" ca="1" si="38"/>
        <v/>
      </c>
      <c r="X58" s="57" t="str">
        <f t="shared" ca="1" si="38"/>
        <v/>
      </c>
      <c r="Y58" s="57" t="str">
        <f t="shared" ca="1" si="38"/>
        <v/>
      </c>
      <c r="Z58" s="57" t="str">
        <f t="shared" ca="1" si="38"/>
        <v/>
      </c>
      <c r="AA58" s="57" t="str">
        <f t="shared" ca="1" si="38"/>
        <v/>
      </c>
      <c r="AB58" s="57" t="str">
        <f t="shared" ca="1" si="38"/>
        <v/>
      </c>
      <c r="AC58" s="57" t="str">
        <f t="shared" ca="1" si="38"/>
        <v/>
      </c>
      <c r="AD58" s="57" t="str">
        <f t="shared" ca="1" si="38"/>
        <v/>
      </c>
      <c r="AE58" s="57" t="str">
        <f t="shared" ca="1" si="38"/>
        <v/>
      </c>
      <c r="AF58" s="57" t="str">
        <f t="shared" ca="1" si="38"/>
        <v/>
      </c>
      <c r="AG58" s="57" t="str">
        <f t="shared" ca="1" si="38"/>
        <v/>
      </c>
      <c r="AH58" s="57" t="str">
        <f t="shared" ca="1" si="38"/>
        <v/>
      </c>
      <c r="AI58" s="57" t="str">
        <f t="shared" ca="1" si="38"/>
        <v/>
      </c>
      <c r="AJ58" s="57" t="str">
        <f t="shared" ca="1" si="38"/>
        <v/>
      </c>
      <c r="AK58" s="57" t="str">
        <f t="shared" ca="1" si="38"/>
        <v/>
      </c>
      <c r="AL58" s="57" t="str">
        <f t="shared" ca="1" si="38"/>
        <v/>
      </c>
      <c r="AM58" s="57" t="str">
        <f t="shared" ca="1" si="38"/>
        <v/>
      </c>
      <c r="AN58" s="57" t="str">
        <f t="shared" ca="1" si="38"/>
        <v/>
      </c>
      <c r="AO58" s="57" t="str">
        <f t="shared" ca="1" si="38"/>
        <v/>
      </c>
      <c r="AP58" s="57" t="str">
        <f t="shared" ca="1" si="38"/>
        <v/>
      </c>
      <c r="AQ58" s="57" t="str">
        <f t="shared" ca="1" si="38"/>
        <v/>
      </c>
      <c r="AR58" s="57" t="str">
        <f t="shared" ca="1" si="38"/>
        <v/>
      </c>
      <c r="AS58" s="57" t="str">
        <f t="shared" ca="1" si="38"/>
        <v/>
      </c>
      <c r="AT58" s="57" t="str">
        <f ca="1">IF(AT9=TODAY(),"TD","")</f>
        <v/>
      </c>
      <c r="AU58" s="57" t="str">
        <f t="shared" ref="AU58:BX58" ca="1" si="39">IF(AU9=TODAY(),"TD","")</f>
        <v/>
      </c>
      <c r="AV58" s="57" t="str">
        <f t="shared" ca="1" si="39"/>
        <v/>
      </c>
      <c r="AW58" s="57" t="str">
        <f t="shared" ca="1" si="39"/>
        <v/>
      </c>
      <c r="AX58" s="57" t="str">
        <f t="shared" ca="1" si="39"/>
        <v/>
      </c>
      <c r="AY58" s="57" t="str">
        <f t="shared" ca="1" si="39"/>
        <v/>
      </c>
      <c r="AZ58" s="57" t="str">
        <f t="shared" ca="1" si="39"/>
        <v/>
      </c>
      <c r="BA58" s="57" t="str">
        <f t="shared" ca="1" si="39"/>
        <v/>
      </c>
      <c r="BB58" s="57" t="str">
        <f t="shared" ca="1" si="39"/>
        <v/>
      </c>
      <c r="BC58" s="57" t="str">
        <f t="shared" ca="1" si="39"/>
        <v/>
      </c>
      <c r="BD58" s="57" t="str">
        <f t="shared" ca="1" si="39"/>
        <v/>
      </c>
      <c r="BE58" s="57" t="str">
        <f t="shared" ca="1" si="39"/>
        <v/>
      </c>
      <c r="BF58" s="57" t="str">
        <f t="shared" ca="1" si="39"/>
        <v/>
      </c>
      <c r="BG58" s="57" t="str">
        <f t="shared" ca="1" si="39"/>
        <v/>
      </c>
      <c r="BH58" s="57" t="str">
        <f t="shared" ca="1" si="39"/>
        <v/>
      </c>
      <c r="BI58" s="57" t="str">
        <f t="shared" ca="1" si="39"/>
        <v/>
      </c>
      <c r="BJ58" s="57" t="str">
        <f t="shared" ca="1" si="39"/>
        <v/>
      </c>
      <c r="BK58" s="57" t="str">
        <f t="shared" ca="1" si="39"/>
        <v/>
      </c>
      <c r="BL58" s="57" t="str">
        <f t="shared" ca="1" si="39"/>
        <v/>
      </c>
      <c r="BM58" s="57" t="str">
        <f t="shared" ca="1" si="39"/>
        <v/>
      </c>
      <c r="BN58" s="57" t="str">
        <f t="shared" ca="1" si="39"/>
        <v/>
      </c>
      <c r="BO58" s="57" t="str">
        <f t="shared" ca="1" si="39"/>
        <v/>
      </c>
      <c r="BP58" s="57" t="str">
        <f t="shared" ca="1" si="39"/>
        <v/>
      </c>
      <c r="BQ58" s="57" t="str">
        <f t="shared" ca="1" si="39"/>
        <v/>
      </c>
      <c r="BR58" s="57" t="str">
        <f t="shared" ca="1" si="39"/>
        <v/>
      </c>
      <c r="BS58" s="57" t="str">
        <f t="shared" ca="1" si="39"/>
        <v/>
      </c>
      <c r="BT58" s="57" t="str">
        <f t="shared" ca="1" si="39"/>
        <v/>
      </c>
      <c r="BU58" s="57" t="str">
        <f t="shared" ca="1" si="39"/>
        <v/>
      </c>
      <c r="BV58" s="57" t="str">
        <f t="shared" ca="1" si="39"/>
        <v/>
      </c>
      <c r="BW58" s="57" t="str">
        <f t="shared" ca="1" si="39"/>
        <v/>
      </c>
      <c r="BX58" s="58" t="str">
        <f t="shared" ca="1" si="39"/>
        <v/>
      </c>
    </row>
    <row r="60" spans="1:76" x14ac:dyDescent="0.25">
      <c r="C60" s="64"/>
    </row>
  </sheetData>
  <mergeCells count="103">
    <mergeCell ref="B2:E3"/>
    <mergeCell ref="L12:M12"/>
    <mergeCell ref="BE8:BI8"/>
    <mergeCell ref="BD9:BD11"/>
    <mergeCell ref="BE9:BE11"/>
    <mergeCell ref="BF9:BF11"/>
    <mergeCell ref="BG9:BG11"/>
    <mergeCell ref="BH9:BH11"/>
    <mergeCell ref="AT9:AT11"/>
    <mergeCell ref="AS9:AS11"/>
    <mergeCell ref="AP9:AP11"/>
    <mergeCell ref="AQ9:AQ11"/>
    <mergeCell ref="AR9:AR11"/>
    <mergeCell ref="AJ9:AJ11"/>
    <mergeCell ref="AI2:BX3"/>
    <mergeCell ref="BT9:BT11"/>
    <mergeCell ref="BU9:BU11"/>
    <mergeCell ref="BV9:BV11"/>
    <mergeCell ref="BW9:BW11"/>
    <mergeCell ref="BX9:BX11"/>
    <mergeCell ref="BO8:BS8"/>
    <mergeCell ref="BO9:BO11"/>
    <mergeCell ref="BP9:BP11"/>
    <mergeCell ref="BJ8:BN8"/>
    <mergeCell ref="B5:C5"/>
    <mergeCell ref="B6:C6"/>
    <mergeCell ref="BL9:BL11"/>
    <mergeCell ref="BM9:BM11"/>
    <mergeCell ref="BN9:BN11"/>
    <mergeCell ref="BA9:BA11"/>
    <mergeCell ref="AV9:AV11"/>
    <mergeCell ref="AK9:AK11"/>
    <mergeCell ref="AL9:AL11"/>
    <mergeCell ref="AM9:AM11"/>
    <mergeCell ref="AN9:AN11"/>
    <mergeCell ref="AO9:AO11"/>
    <mergeCell ref="BK9:BK11"/>
    <mergeCell ref="BB9:BB11"/>
    <mergeCell ref="BC9:BC11"/>
    <mergeCell ref="AP8:AT8"/>
    <mergeCell ref="AU8:AY8"/>
    <mergeCell ref="AZ8:BD8"/>
    <mergeCell ref="Q5:Y5"/>
    <mergeCell ref="Z5:AC5"/>
    <mergeCell ref="AD5:AI5"/>
    <mergeCell ref="AM5:BL5"/>
    <mergeCell ref="Q13:U13"/>
    <mergeCell ref="V13:Z13"/>
    <mergeCell ref="AA13:AE13"/>
    <mergeCell ref="AF13:AJ13"/>
    <mergeCell ref="AK13:AO13"/>
    <mergeCell ref="AP13:AT13"/>
    <mergeCell ref="B8:C8"/>
    <mergeCell ref="Q9:Q11"/>
    <mergeCell ref="R9:R11"/>
    <mergeCell ref="S9:S11"/>
    <mergeCell ref="T9:T11"/>
    <mergeCell ref="AE9:AE11"/>
    <mergeCell ref="AF9:AF11"/>
    <mergeCell ref="AG9:AG11"/>
    <mergeCell ref="AH9:AH11"/>
    <mergeCell ref="Q8:U8"/>
    <mergeCell ref="V8:Z8"/>
    <mergeCell ref="AA8:AE8"/>
    <mergeCell ref="AF8:AJ8"/>
    <mergeCell ref="B12:E12"/>
    <mergeCell ref="C10:M10"/>
    <mergeCell ref="G12:I12"/>
    <mergeCell ref="BQ9:BQ11"/>
    <mergeCell ref="BR9:BR11"/>
    <mergeCell ref="BS9:BS11"/>
    <mergeCell ref="Z9:Z11"/>
    <mergeCell ref="AA9:AA11"/>
    <mergeCell ref="AB9:AB11"/>
    <mergeCell ref="AC9:AC11"/>
    <mergeCell ref="AD9:AD11"/>
    <mergeCell ref="U9:U11"/>
    <mergeCell ref="V9:V11"/>
    <mergeCell ref="BJ9:BJ11"/>
    <mergeCell ref="Z4:AC4"/>
    <mergeCell ref="AD4:AI4"/>
    <mergeCell ref="Q6:Y6"/>
    <mergeCell ref="Z6:AD6"/>
    <mergeCell ref="BT8:BX8"/>
    <mergeCell ref="BO13:BS13"/>
    <mergeCell ref="BT13:BX13"/>
    <mergeCell ref="H2:U3"/>
    <mergeCell ref="BS6:BT6"/>
    <mergeCell ref="W9:W11"/>
    <mergeCell ref="X9:X11"/>
    <mergeCell ref="Y9:Y11"/>
    <mergeCell ref="AI9:AI11"/>
    <mergeCell ref="AU13:AY13"/>
    <mergeCell ref="AZ13:BD13"/>
    <mergeCell ref="BI9:BI11"/>
    <mergeCell ref="AW9:AW11"/>
    <mergeCell ref="AX9:AX11"/>
    <mergeCell ref="AY9:AY11"/>
    <mergeCell ref="AZ9:AZ11"/>
    <mergeCell ref="BE13:BI13"/>
    <mergeCell ref="AU9:AU11"/>
    <mergeCell ref="BJ13:BN13"/>
    <mergeCell ref="AK8:AO8"/>
  </mergeCells>
  <conditionalFormatting sqref="A14:A57">
    <cfRule type="expression" dxfId="65" priority="13">
      <formula>AND($Z$6=F14,F14&lt;&gt;0,F14&lt;&gt;"")</formula>
    </cfRule>
    <cfRule type="expression" dxfId="64" priority="69">
      <formula>$B14&lt;&gt;""</formula>
    </cfRule>
  </conditionalFormatting>
  <conditionalFormatting sqref="A14:BX57">
    <cfRule type="expression" dxfId="63" priority="3">
      <formula>$B$14&lt;&gt;""</formula>
    </cfRule>
  </conditionalFormatting>
  <conditionalFormatting sqref="C14:C57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57">
    <cfRule type="expression" dxfId="62" priority="4">
      <formula>AND($Z$6=F14,F14&lt;&gt;0,F14&lt;&gt;"")</formula>
    </cfRule>
    <cfRule type="expression" dxfId="61" priority="5">
      <formula>D14=11</formula>
    </cfRule>
    <cfRule type="expression" dxfId="60" priority="6">
      <formula>D14=10</formula>
    </cfRule>
    <cfRule type="expression" dxfId="59" priority="7">
      <formula>D14=9</formula>
    </cfRule>
    <cfRule type="expression" dxfId="58" priority="8">
      <formula>D14=8</formula>
    </cfRule>
    <cfRule type="expression" dxfId="57" priority="14">
      <formula>D14=7</formula>
    </cfRule>
    <cfRule type="expression" dxfId="56" priority="19">
      <formula>D14=6</formula>
    </cfRule>
    <cfRule type="expression" dxfId="55" priority="20">
      <formula>D14=5</formula>
    </cfRule>
    <cfRule type="expression" dxfId="54" priority="21">
      <formula>D14=4</formula>
    </cfRule>
    <cfRule type="expression" dxfId="53" priority="22">
      <formula>D14 = 3</formula>
    </cfRule>
    <cfRule type="expression" dxfId="52" priority="23">
      <formula>D14 = 2</formula>
    </cfRule>
    <cfRule type="expression" dxfId="51" priority="24">
      <formula>D14 = 1</formula>
    </cfRule>
  </conditionalFormatting>
  <conditionalFormatting sqref="Q8:BX8">
    <cfRule type="expression" dxfId="50" priority="29">
      <formula>MOD(MONTH(Q9),2) = 0</formula>
    </cfRule>
  </conditionalFormatting>
  <conditionalFormatting sqref="Q9:BX11">
    <cfRule type="expression" dxfId="49" priority="12" stopIfTrue="1">
      <formula>$CC$1</formula>
    </cfRule>
  </conditionalFormatting>
  <conditionalFormatting sqref="Q9:BX12 Q13 V13 AA13 AF13 AK13 AP13 AU13 AZ13 BE13 BJ13 BO13 BT13 Q14:BX57">
    <cfRule type="expression" dxfId="48" priority="2">
      <formula>Q$12="V"</formula>
    </cfRule>
  </conditionalFormatting>
  <conditionalFormatting sqref="Q14:BX57">
    <cfRule type="expression" dxfId="47" priority="10">
      <formula>AND($G14&lt;=Q$9, $H14&gt;=Q$9, $Z$6=$F14, $F14&lt;&gt;0, $F14&lt;&gt;"")</formula>
    </cfRule>
    <cfRule type="expression" dxfId="46" priority="11">
      <formula>AND($L14&lt;=Q$9, $M14&gt;=Q$9)</formula>
    </cfRule>
    <cfRule type="expression" dxfId="45" priority="72">
      <formula>AND($G14&lt;=Q$9,$H14&gt;=Q$9)</formula>
    </cfRule>
    <cfRule type="expression" dxfId="44" priority="73">
      <formula>AND(Q$9=TODAY(), Q$12="V")</formula>
    </cfRule>
    <cfRule type="expression" dxfId="43" priority="74">
      <formula>AND(Q$9=TODAY(), Q$12&lt;&gt;"V")</formula>
    </cfRule>
  </conditionalFormatting>
  <conditionalFormatting sqref="AM24">
    <cfRule type="expression" dxfId="42" priority="9">
      <formula>AND(Q$9=TODAY(), Q$12="V")</formula>
    </cfRule>
  </conditionalFormatting>
  <conditionalFormatting sqref="BO4">
    <cfRule type="colorScale" priority="43">
      <colorScale>
        <cfvo type="min"/>
        <cfvo type="max"/>
        <color theme="0"/>
        <color rgb="FF000099"/>
      </colorScale>
    </cfRule>
  </conditionalFormatting>
  <conditionalFormatting sqref="I14:I57">
    <cfRule type="expression" dxfId="41" priority="1">
      <formula>I14 &lt;&gt; ""</formula>
    </cfRule>
  </conditionalFormatting>
  <dataValidations count="14">
    <dataValidation type="date" allowBlank="1" showInputMessage="1" showErrorMessage="1" errorTitle="entrez une date" sqref="N14:N23" xr:uid="{951DAB39-709B-4E12-91C3-A23129CEDC32}">
      <formula1>P8</formula1>
      <formula2>P8+1000</formula2>
    </dataValidation>
    <dataValidation type="date" allowBlank="1" showInputMessage="1" showErrorMessage="1" sqref="G8:I8" xr:uid="{2E3C73FE-153B-497F-88C9-DC69E382CB89}">
      <formula1>43831</formula1>
      <formula2>51501</formula2>
    </dataValidation>
    <dataValidation type="date" allowBlank="1" showInputMessage="1" showErrorMessage="1" errorTitle="entrez une date" sqref="N33" xr:uid="{41044EAB-868E-437E-864B-ED53E6189131}">
      <formula1>P22</formula1>
      <formula2>P22+1000</formula2>
    </dataValidation>
    <dataValidation type="date" allowBlank="1" showInputMessage="1" showErrorMessage="1" errorTitle="entrez une date" sqref="N24:N25" xr:uid="{EEB3D7FF-5844-4D67-A98B-519075D40E93}">
      <formula1>P17</formula1>
      <formula2>P17+1000</formula2>
    </dataValidation>
    <dataValidation type="date" allowBlank="1" showInputMessage="1" showErrorMessage="1" errorTitle="entrez une date" sqref="N30:N32 N34" xr:uid="{AF4C3FD8-2485-41BB-BEBD-C50B7C26CB8A}">
      <formula1>P20</formula1>
      <formula2>P20+1000</formula2>
    </dataValidation>
    <dataValidation type="date" allowBlank="1" showInputMessage="1" showErrorMessage="1" errorTitle="entrez une date" sqref="N26:N29 N38:N43" xr:uid="{D27569AE-5141-4A55-B5EF-4C2FA305D491}">
      <formula1>P18</formula1>
      <formula2>P18+1000</formula2>
    </dataValidation>
    <dataValidation type="date" allowBlank="1" showInputMessage="1" showErrorMessage="1" sqref="L14:M57 G14:H57 J14:J57" xr:uid="{42E20B51-5FBC-42CC-AE6E-01E0727BFA72}">
      <formula1>$H$8</formula1>
      <formula2>$H$8+1000</formula2>
    </dataValidation>
    <dataValidation type="date" allowBlank="1" showInputMessage="1" showErrorMessage="1" errorTitle="entrez une date" sqref="N53:N54" xr:uid="{4A7DB8CB-4EB4-4DA5-A177-34D85667D7D3}">
      <formula1>P27</formula1>
      <formula2>P27+1000</formula2>
    </dataValidation>
    <dataValidation type="date" allowBlank="1" showInputMessage="1" showErrorMessage="1" errorTitle="entrez une date" sqref="N55:N57 N52" xr:uid="{53BD962A-0BA9-4343-BDAD-976C5BC107DE}">
      <formula1>P30</formula1>
      <formula2>P30+1000</formula2>
    </dataValidation>
    <dataValidation type="date" allowBlank="1" showInputMessage="1" showErrorMessage="1" errorTitle="entrez une date" sqref="N35:N37" xr:uid="{04178DA1-5F55-460A-9E9F-652D11E7C6FC}">
      <formula1>P26</formula1>
      <formula2>P26+1000</formula2>
    </dataValidation>
    <dataValidation type="date" allowBlank="1" showInputMessage="1" showErrorMessage="1" errorTitle="entrez une date" sqref="N51" xr:uid="{F69CF673-DF58-44E0-A648-14AC50C58F0B}">
      <formula1>P28</formula1>
      <formula2>P28+1000</formula2>
    </dataValidation>
    <dataValidation type="date" allowBlank="1" showInputMessage="1" showErrorMessage="1" errorTitle="entrez une date" sqref="N44:N45" xr:uid="{A0CC8EB2-FF17-473D-B6E9-1C4A65ABCCCE}">
      <formula1>P27</formula1>
      <formula2>P27+1000</formula2>
    </dataValidation>
    <dataValidation type="date" allowBlank="1" showInputMessage="1" showErrorMessage="1" errorTitle="entrez une date" sqref="N46:N50" xr:uid="{35CD6E2D-0A16-499E-88E8-A711153F7BCE}">
      <formula1>P30</formula1>
      <formula2>P30+1000</formula2>
    </dataValidation>
    <dataValidation type="time" allowBlank="1" showInputMessage="1" showErrorMessage="1" sqref="I14:I57" xr:uid="{315464C8-972A-476E-B5F7-DE4D6E33D78F}">
      <formula1>0</formula1>
      <formula2>0.999305555555556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66675</xdr:colOff>
                    <xdr:row>5</xdr:row>
                    <xdr:rowOff>0</xdr:rowOff>
                  </from>
                  <to>
                    <xdr:col>75</xdr:col>
                    <xdr:colOff>47625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C14:C57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A14:A57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Gantt'!$A$6&lt;&gt;"",AND($G14&lt;=Q$9, $H14&gt;=Q$9,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Gantt'!$A$3&lt;&gt;"",AND($G14&lt;=Q$9, $H14&gt;=Q$9,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Gantt'!$A$4&lt;&gt;"",AND($G14&lt;=Q$9, $H14&gt;=Q$9,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Gantt'!$A$5&lt;&gt;"",AND($G14&lt;=Q$9, $H14&gt;=Q$9,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Q14:BX57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A707E-0066-42C8-9943-E507CB91AB1D}">
          <x14:formula1>
            <xm:f>'Parametre Gantt'!$B$3:$B$9</xm:f>
          </x14:formula1>
          <xm:sqref>Z5:AC5</xm:sqref>
        </x14:dataValidation>
        <x14:dataValidation type="list" allowBlank="1" showInputMessage="1" showErrorMessage="1" xr:uid="{C60B3613-D78C-44EF-95F6-1D324DEDE158}">
          <x14:formula1>
            <xm:f>'Parametre Gantt'!$H$3:$H$16</xm:f>
          </x14:formula1>
          <xm:sqref>Z6:AD6</xm:sqref>
        </x14:dataValidation>
        <x14:dataValidation type="list" allowBlank="1" showInputMessage="1" showErrorMessage="1" xr:uid="{EB4505C7-E88F-49DF-B322-DBCD5E4A7C6D}">
          <x14:formula1>
            <xm:f>'Parametre Gantt'!$G$3:$G$16</xm:f>
          </x14:formula1>
          <xm:sqref>E14:E57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6"/>
  <sheetViews>
    <sheetView workbookViewId="0">
      <selection activeCell="L12" sqref="L12"/>
    </sheetView>
  </sheetViews>
  <sheetFormatPr baseColWidth="10" defaultRowHeight="15" x14ac:dyDescent="0.25"/>
  <cols>
    <col min="3" max="3" width="16.140625" customWidth="1"/>
    <col min="5" max="5" width="15.28515625" customWidth="1"/>
    <col min="6" max="6" width="13.7109375" customWidth="1"/>
    <col min="7" max="7" width="17.5703125" customWidth="1"/>
    <col min="8" max="8" width="13.140625" customWidth="1"/>
  </cols>
  <sheetData>
    <row r="2" spans="1:9" x14ac:dyDescent="0.25">
      <c r="B2" s="9" t="s">
        <v>27</v>
      </c>
      <c r="C2" s="9" t="s">
        <v>25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25">
      <c r="A3" t="str">
        <f>IF(AND(Gantt!$Z$5=B3,Gantt!$AD$5&lt;&gt;""),Gantt!$AD$5,'Parametre Gantt'!C3)</f>
        <v>ELEC</v>
      </c>
      <c r="B3" s="60" t="s">
        <v>19</v>
      </c>
      <c r="C3" s="9" t="s">
        <v>30</v>
      </c>
      <c r="F3" s="9">
        <v>1</v>
      </c>
      <c r="G3" s="9" t="s">
        <v>28</v>
      </c>
      <c r="H3" s="9"/>
      <c r="I3" s="9"/>
    </row>
    <row r="4" spans="1:9" x14ac:dyDescent="0.25">
      <c r="A4" t="str">
        <f>IF(AND(Gantt!$Z$5=B4,Gantt!$AD$5&lt;&gt;""),Gantt!$AD$5,'Parametre Gantt'!C4)</f>
        <v>Livrable</v>
      </c>
      <c r="B4" s="61" t="s">
        <v>20</v>
      </c>
      <c r="C4" s="9" t="s">
        <v>46</v>
      </c>
      <c r="F4" s="9">
        <v>2</v>
      </c>
      <c r="G4" s="9" t="s">
        <v>29</v>
      </c>
      <c r="H4" s="9"/>
      <c r="I4" s="9"/>
    </row>
    <row r="5" spans="1:9" x14ac:dyDescent="0.25">
      <c r="A5" t="str">
        <f>IF(AND(Gantt!$Z$5=B5,Gantt!$AD$5&lt;&gt;""),Gantt!$AD$5,'Parametre Gantt'!C5)</f>
        <v>AUTO</v>
      </c>
      <c r="B5" s="62" t="s">
        <v>21</v>
      </c>
      <c r="C5" s="9" t="s">
        <v>31</v>
      </c>
      <c r="F5" s="9">
        <v>3</v>
      </c>
      <c r="G5" s="9" t="s">
        <v>32</v>
      </c>
      <c r="H5" s="9"/>
      <c r="I5" s="9"/>
    </row>
    <row r="6" spans="1:9" x14ac:dyDescent="0.25">
      <c r="A6">
        <f>IF(AND(Gantt!$Z$5=B6,Gantt!$AD$5&lt;&gt;""),Gantt!$AD$5,'Parametre Gantt'!C6)</f>
        <v>0</v>
      </c>
      <c r="B6" s="63" t="s">
        <v>24</v>
      </c>
      <c r="C6" s="9"/>
      <c r="F6" s="9">
        <v>4</v>
      </c>
      <c r="G6" s="9" t="s">
        <v>36</v>
      </c>
      <c r="H6" s="9"/>
      <c r="I6" s="9"/>
    </row>
    <row r="7" spans="1:9" x14ac:dyDescent="0.25">
      <c r="F7" s="9">
        <v>5</v>
      </c>
      <c r="G7" s="9" t="s">
        <v>37</v>
      </c>
      <c r="H7" s="9"/>
      <c r="I7" s="9"/>
    </row>
    <row r="8" spans="1:9" x14ac:dyDescent="0.25">
      <c r="F8" s="9">
        <v>6</v>
      </c>
      <c r="G8" s="9" t="s">
        <v>38</v>
      </c>
      <c r="H8" s="9"/>
      <c r="I8" s="9"/>
    </row>
    <row r="9" spans="1:9" x14ac:dyDescent="0.25">
      <c r="F9" s="9">
        <v>7</v>
      </c>
      <c r="G9" s="9" t="s">
        <v>39</v>
      </c>
      <c r="H9" s="9"/>
      <c r="I9" s="9"/>
    </row>
    <row r="10" spans="1:9" x14ac:dyDescent="0.25">
      <c r="F10" s="9">
        <v>8</v>
      </c>
      <c r="G10" s="9" t="s">
        <v>40</v>
      </c>
      <c r="H10" s="9"/>
      <c r="I10" s="9"/>
    </row>
    <row r="11" spans="1:9" x14ac:dyDescent="0.25">
      <c r="F11" s="9">
        <v>9</v>
      </c>
      <c r="G11" s="9" t="s">
        <v>41</v>
      </c>
      <c r="H11" s="9"/>
      <c r="I11" s="9"/>
    </row>
    <row r="12" spans="1:9" x14ac:dyDescent="0.25">
      <c r="F12" s="9">
        <v>10</v>
      </c>
      <c r="G12" s="9" t="s">
        <v>51</v>
      </c>
      <c r="H12" s="9"/>
      <c r="I12" s="9"/>
    </row>
    <row r="13" spans="1:9" x14ac:dyDescent="0.25">
      <c r="F13" s="9">
        <v>11</v>
      </c>
      <c r="G13" s="9" t="s">
        <v>52</v>
      </c>
      <c r="H13" s="9"/>
      <c r="I13" s="9"/>
    </row>
    <row r="14" spans="1:9" x14ac:dyDescent="0.25">
      <c r="F14" s="9">
        <v>12</v>
      </c>
      <c r="G14" s="9" t="s">
        <v>53</v>
      </c>
      <c r="H14" s="9"/>
      <c r="I14" s="9"/>
    </row>
    <row r="15" spans="1:9" x14ac:dyDescent="0.25">
      <c r="F15" s="9">
        <v>13</v>
      </c>
      <c r="G15" s="9" t="s">
        <v>44</v>
      </c>
      <c r="H15" s="9"/>
      <c r="I15" s="9"/>
    </row>
    <row r="16" spans="1:9" x14ac:dyDescent="0.25">
      <c r="F16" s="9">
        <v>14</v>
      </c>
      <c r="G16" s="9"/>
      <c r="H16" s="9"/>
      <c r="I16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Gantt</vt:lpstr>
      <vt:lpstr>Parametre Gantt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antoine cojan</cp:lastModifiedBy>
  <cp:lastPrinted>2024-01-19T14:21:44Z</cp:lastPrinted>
  <dcterms:created xsi:type="dcterms:W3CDTF">2023-11-24T13:18:15Z</dcterms:created>
  <dcterms:modified xsi:type="dcterms:W3CDTF">2024-10-04T09:55:39Z</dcterms:modified>
</cp:coreProperties>
</file>