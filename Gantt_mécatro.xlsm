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jan\OneDrive\Documents\Yann\COURS_ECOLE\ICAM\2024-2025\Mécatro\Gantt_Mecatro\"/>
    </mc:Choice>
  </mc:AlternateContent>
  <xr:revisionPtr revIDLastSave="0" documentId="13_ncr:1_{7DD470A1-0816-4D57-9D63-E4AAECAE79DE}" xr6:coauthVersionLast="47" xr6:coauthVersionMax="47" xr10:uidLastSave="{00000000-0000-0000-0000-000000000000}"/>
  <bookViews>
    <workbookView xWindow="-120" yWindow="-120" windowWidth="24240" windowHeight="13140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3" l="1"/>
  <c r="K4" i="3"/>
  <c r="K6" i="3"/>
  <c r="K7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J10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5" i="3"/>
  <c r="J6" i="3"/>
  <c r="J7" i="3"/>
  <c r="J9" i="3"/>
  <c r="J10" i="3"/>
  <c r="J3" i="3"/>
  <c r="G3" i="3"/>
  <c r="H10" i="3"/>
  <c r="H14" i="3"/>
  <c r="H26" i="3"/>
  <c r="H30" i="3"/>
  <c r="H42" i="3"/>
  <c r="H46" i="3"/>
  <c r="H58" i="3"/>
  <c r="H62" i="3"/>
  <c r="H74" i="3"/>
  <c r="H78" i="3"/>
  <c r="H90" i="3"/>
  <c r="H94" i="3"/>
  <c r="E3" i="3"/>
  <c r="K3" i="3" s="1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E11" i="3"/>
  <c r="H11" i="3" s="1"/>
  <c r="E12" i="3"/>
  <c r="H12" i="3" s="1"/>
  <c r="E13" i="3"/>
  <c r="H13" i="3" s="1"/>
  <c r="E14" i="3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E27" i="3"/>
  <c r="H27" i="3" s="1"/>
  <c r="E28" i="3"/>
  <c r="H28" i="3" s="1"/>
  <c r="E29" i="3"/>
  <c r="H29" i="3" s="1"/>
  <c r="E30" i="3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E43" i="3"/>
  <c r="H43" i="3" s="1"/>
  <c r="E44" i="3"/>
  <c r="H44" i="3" s="1"/>
  <c r="E45" i="3"/>
  <c r="H45" i="3" s="1"/>
  <c r="E46" i="3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E59" i="3"/>
  <c r="H59" i="3" s="1"/>
  <c r="E60" i="3"/>
  <c r="H60" i="3" s="1"/>
  <c r="E61" i="3"/>
  <c r="H61" i="3" s="1"/>
  <c r="E62" i="3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E75" i="3"/>
  <c r="H75" i="3" s="1"/>
  <c r="E76" i="3"/>
  <c r="H76" i="3" s="1"/>
  <c r="E77" i="3"/>
  <c r="H77" i="3" s="1"/>
  <c r="E78" i="3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E91" i="3"/>
  <c r="H91" i="3" s="1"/>
  <c r="E92" i="3"/>
  <c r="H92" i="3" s="1"/>
  <c r="E93" i="3"/>
  <c r="H93" i="3" s="1"/>
  <c r="E94" i="3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K8" i="3" s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A4" i="3"/>
  <c r="J4" i="3" s="1"/>
  <c r="A5" i="3"/>
  <c r="A6" i="3"/>
  <c r="A7" i="3"/>
  <c r="A8" i="3"/>
  <c r="J8" i="3" s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3" i="3"/>
  <c r="K29" i="1"/>
  <c r="O29" i="1"/>
  <c r="K5" i="3" l="1"/>
  <c r="M15" i="3" s="1"/>
  <c r="G4" i="3"/>
  <c r="G5" i="3"/>
  <c r="H3" i="3"/>
  <c r="O14" i="1"/>
  <c r="O21" i="1"/>
  <c r="O22" i="1"/>
  <c r="O30" i="1"/>
  <c r="O31" i="1"/>
  <c r="O33" i="1"/>
  <c r="D49" i="1"/>
  <c r="D50" i="1"/>
  <c r="D51" i="1"/>
  <c r="D52" i="1"/>
  <c r="D53" i="1"/>
  <c r="D54" i="1"/>
  <c r="D55" i="1"/>
  <c r="D56" i="1"/>
  <c r="D5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14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0" i="1"/>
  <c r="F31" i="1"/>
  <c r="F32" i="1"/>
  <c r="F14" i="1"/>
  <c r="K25" i="1"/>
  <c r="O25" i="1"/>
  <c r="A6" i="2"/>
  <c r="A3" i="2"/>
  <c r="A4" i="2"/>
  <c r="A5" i="2"/>
  <c r="O15" i="1"/>
  <c r="O16" i="1"/>
  <c r="O17" i="1"/>
  <c r="O18" i="1"/>
  <c r="O19" i="1"/>
  <c r="O23" i="1"/>
  <c r="O24" i="1"/>
  <c r="O26" i="1"/>
  <c r="O27" i="1"/>
  <c r="O28" i="1"/>
  <c r="O32" i="1"/>
  <c r="O34" i="1"/>
  <c r="O35" i="1"/>
  <c r="O53" i="1"/>
  <c r="O55" i="1"/>
  <c r="O56" i="1"/>
  <c r="O57" i="1"/>
  <c r="O20" i="1"/>
  <c r="K14" i="1"/>
  <c r="K15" i="1"/>
  <c r="K16" i="1"/>
  <c r="K17" i="1"/>
  <c r="K18" i="1"/>
  <c r="K19" i="1"/>
  <c r="K21" i="1"/>
  <c r="K22" i="1"/>
  <c r="K23" i="1"/>
  <c r="K24" i="1"/>
  <c r="K26" i="1"/>
  <c r="K27" i="1"/>
  <c r="K28" i="1"/>
  <c r="K32" i="1"/>
  <c r="K35" i="1"/>
  <c r="K53" i="1"/>
  <c r="K55" i="1"/>
  <c r="K56" i="1"/>
  <c r="K57" i="1"/>
  <c r="K20" i="1"/>
  <c r="N58" i="1"/>
  <c r="H8" i="1"/>
  <c r="BT6" i="1"/>
  <c r="M3" i="3" l="1"/>
  <c r="N17" i="3"/>
  <c r="K30" i="1"/>
  <c r="R9" i="1"/>
  <c r="R58" i="1" s="1"/>
  <c r="K31" i="1" l="1"/>
  <c r="O58" i="1"/>
  <c r="CD19" i="1"/>
  <c r="S9" i="1"/>
  <c r="S58" i="1" s="1"/>
  <c r="CD20" i="1"/>
  <c r="CD21" i="1"/>
  <c r="CD22" i="1"/>
  <c r="CD24" i="1"/>
  <c r="CD26" i="1"/>
  <c r="R13" i="1"/>
  <c r="R12" i="1"/>
  <c r="R8" i="1" s="1"/>
  <c r="T9" i="1" l="1"/>
  <c r="T58" i="1" s="1"/>
  <c r="CD27" i="1"/>
  <c r="S12" i="1"/>
  <c r="T12" i="1" l="1"/>
  <c r="U9" i="1"/>
  <c r="U58" i="1" s="1"/>
  <c r="CD31" i="1"/>
  <c r="K33" i="1" l="1"/>
  <c r="V9" i="1"/>
  <c r="V58" i="1" s="1"/>
  <c r="U12" i="1"/>
  <c r="K34" i="1"/>
  <c r="K58" i="1" s="1"/>
  <c r="O3" i="3" s="1"/>
  <c r="N9" i="3" s="1"/>
  <c r="CD30" i="1"/>
  <c r="W9" i="1" l="1"/>
  <c r="W58" i="1" s="1"/>
  <c r="V12" i="1"/>
  <c r="X9" i="1" l="1"/>
  <c r="X58" i="1" s="1"/>
  <c r="W12" i="1"/>
  <c r="W8" i="1" s="1"/>
  <c r="W13" i="1"/>
  <c r="Y9" i="1" l="1"/>
  <c r="Y58" i="1" s="1"/>
  <c r="X12" i="1"/>
  <c r="Z9" i="1" l="1"/>
  <c r="Z58" i="1" s="1"/>
  <c r="Y12" i="1"/>
  <c r="AA9" i="1" l="1"/>
  <c r="AA58" i="1" s="1"/>
  <c r="Z12" i="1"/>
  <c r="AB9" i="1" l="1"/>
  <c r="AB58" i="1" s="1"/>
  <c r="AA12" i="1"/>
  <c r="AC9" i="1" l="1"/>
  <c r="AC58" i="1" s="1"/>
  <c r="AB12" i="1"/>
  <c r="AB8" i="1" s="1"/>
  <c r="AB13" i="1"/>
  <c r="AD9" i="1" l="1"/>
  <c r="AD58" i="1" s="1"/>
  <c r="AC12" i="1"/>
  <c r="AE9" i="1" l="1"/>
  <c r="AE58" i="1" s="1"/>
  <c r="AD12" i="1"/>
  <c r="AF9" i="1" l="1"/>
  <c r="AF58" i="1" s="1"/>
  <c r="AE12" i="1"/>
  <c r="AG9" i="1" l="1"/>
  <c r="AG58" i="1" s="1"/>
  <c r="AF12" i="1"/>
  <c r="AH9" i="1" l="1"/>
  <c r="AH58" i="1" s="1"/>
  <c r="AG13" i="1"/>
  <c r="AG12" i="1"/>
  <c r="AG8" i="1" s="1"/>
  <c r="AI9" i="1" l="1"/>
  <c r="AI58" i="1" s="1"/>
  <c r="AH12" i="1"/>
  <c r="AJ9" i="1" l="1"/>
  <c r="AJ58" i="1" s="1"/>
  <c r="AI12" i="1"/>
  <c r="AK9" i="1" l="1"/>
  <c r="AK58" i="1" s="1"/>
  <c r="AJ12" i="1"/>
  <c r="AL9" i="1" l="1"/>
  <c r="AL58" i="1" s="1"/>
  <c r="AK12" i="1"/>
  <c r="AL13" i="1" l="1"/>
  <c r="AL12" i="1"/>
  <c r="AL8" i="1" s="1"/>
  <c r="AM9" i="1"/>
  <c r="AM58" i="1" s="1"/>
  <c r="AN9" i="1" l="1"/>
  <c r="AN58" i="1" s="1"/>
  <c r="AM12" i="1"/>
  <c r="AO9" i="1" l="1"/>
  <c r="AO58" i="1" s="1"/>
  <c r="AN12" i="1"/>
  <c r="AP9" i="1" l="1"/>
  <c r="AP58" i="1" s="1"/>
  <c r="AO12" i="1"/>
  <c r="AQ9" i="1" l="1"/>
  <c r="AQ58" i="1" s="1"/>
  <c r="AP12" i="1"/>
  <c r="AR9" i="1" l="1"/>
  <c r="AR58" i="1" s="1"/>
  <c r="AQ13" i="1"/>
  <c r="AQ12" i="1"/>
  <c r="AQ8" i="1" s="1"/>
  <c r="AS9" i="1" l="1"/>
  <c r="AS58" i="1" s="1"/>
  <c r="AR12" i="1"/>
  <c r="AT9" i="1" l="1"/>
  <c r="AT58" i="1" s="1"/>
  <c r="AS12" i="1"/>
  <c r="AU9" i="1" l="1"/>
  <c r="AT12" i="1"/>
  <c r="AV9" i="1" l="1"/>
  <c r="AV58" i="1" s="1"/>
  <c r="AU58" i="1"/>
  <c r="AU12" i="1"/>
  <c r="AW9" i="1" l="1"/>
  <c r="AW58" i="1" s="1"/>
  <c r="AV12" i="1"/>
  <c r="AV8" i="1" s="1"/>
  <c r="AV13" i="1"/>
  <c r="AX9" i="1" l="1"/>
  <c r="AX58" i="1" s="1"/>
  <c r="AW12" i="1"/>
  <c r="AY9" i="1" l="1"/>
  <c r="AY58" i="1" s="1"/>
  <c r="AX12" i="1"/>
  <c r="AZ9" i="1" l="1"/>
  <c r="AZ58" i="1" s="1"/>
  <c r="AY12" i="1"/>
  <c r="BA9" i="1" l="1"/>
  <c r="BA58" i="1" s="1"/>
  <c r="AZ12" i="1"/>
  <c r="BB9" i="1" l="1"/>
  <c r="BB58" i="1" s="1"/>
  <c r="BA12" i="1"/>
  <c r="BA8" i="1" s="1"/>
  <c r="BA13" i="1"/>
  <c r="BC9" i="1" l="1"/>
  <c r="BC58" i="1" s="1"/>
  <c r="BB12" i="1"/>
  <c r="BD9" i="1" l="1"/>
  <c r="BD58" i="1" s="1"/>
  <c r="BC12" i="1"/>
  <c r="BE9" i="1" l="1"/>
  <c r="BE58" i="1" s="1"/>
  <c r="BD12" i="1"/>
  <c r="BE12" i="1" l="1"/>
  <c r="BF9" i="1"/>
  <c r="BF58" i="1" s="1"/>
  <c r="BG9" i="1" l="1"/>
  <c r="BG58" i="1" s="1"/>
  <c r="BF12" i="1"/>
  <c r="BF8" i="1" s="1"/>
  <c r="BF13" i="1"/>
  <c r="BG12" i="1" l="1"/>
  <c r="BH9" i="1"/>
  <c r="BH58" i="1" s="1"/>
  <c r="BI9" i="1" l="1"/>
  <c r="BI58" i="1" s="1"/>
  <c r="BH12" i="1"/>
  <c r="BJ9" i="1" l="1"/>
  <c r="BJ58" i="1" s="1"/>
  <c r="BI12" i="1"/>
  <c r="BK9" i="1" l="1"/>
  <c r="BK58" i="1" s="1"/>
  <c r="BJ12" i="1"/>
  <c r="BL9" i="1" l="1"/>
  <c r="BL58" i="1" s="1"/>
  <c r="BK12" i="1"/>
  <c r="BK8" i="1" s="1"/>
  <c r="BK13" i="1"/>
  <c r="BM9" i="1" l="1"/>
  <c r="BM58" i="1" s="1"/>
  <c r="BL12" i="1"/>
  <c r="BM12" i="1" l="1"/>
  <c r="BN9" i="1"/>
  <c r="BN58" i="1" l="1"/>
  <c r="BO9" i="1"/>
  <c r="BN12" i="1"/>
  <c r="BO58" i="1" l="1"/>
  <c r="BO12" i="1"/>
  <c r="BP9" i="1"/>
  <c r="BP58" i="1" l="1"/>
  <c r="BQ9" i="1"/>
  <c r="BQ58" i="1" s="1"/>
  <c r="BP13" i="1"/>
  <c r="BP12" i="1"/>
  <c r="BP8" i="1" s="1"/>
  <c r="BR9" i="1" l="1"/>
  <c r="BR58" i="1" s="1"/>
  <c r="BQ12" i="1"/>
  <c r="BS9" i="1" l="1"/>
  <c r="BS58" i="1" s="1"/>
  <c r="BR12" i="1"/>
  <c r="BS12" i="1" l="1"/>
  <c r="BT9" i="1"/>
  <c r="BT58" i="1" s="1"/>
  <c r="BT12" i="1" l="1"/>
  <c r="BU9" i="1"/>
  <c r="BU58" i="1" s="1"/>
  <c r="BU12" i="1" l="1"/>
  <c r="BU8" i="1" s="1"/>
  <c r="BV9" i="1"/>
  <c r="BV58" i="1" s="1"/>
  <c r="BU13" i="1"/>
  <c r="BW9" i="1" l="1"/>
  <c r="BW58" i="1" s="1"/>
  <c r="BV12" i="1"/>
  <c r="BW12" i="1" l="1"/>
  <c r="BX9" i="1"/>
  <c r="BX58" i="1" s="1"/>
  <c r="BX12" i="1" l="1"/>
  <c r="BY9" i="1"/>
  <c r="BY58" i="1" s="1"/>
  <c r="BY12" i="1" l="1"/>
</calcChain>
</file>

<file path=xl/sharedStrings.xml><?xml version="1.0" encoding="utf-8"?>
<sst xmlns="http://schemas.openxmlformats.org/spreadsheetml/2006/main" count="93" uniqueCount="76">
  <si>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</si>
  <si>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</si>
  <si>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</si>
  <si>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</si>
  <si>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</si>
  <si>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</si>
  <si>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</si>
  <si>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</si>
  <si>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</si>
  <si>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</si>
  <si>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</si>
  <si>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</si>
  <si>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</si>
  <si>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</si>
  <si>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</si>
  <si>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</si>
  <si>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</si>
  <si>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</si>
  <si>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</si>
  <si>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</si>
  <si>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</si>
  <si>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</si>
  <si>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</si>
  <si>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</si>
  <si>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</si>
  <si>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</si>
  <si>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</si>
  <si>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</si>
  <si>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</si>
  <si>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</si>
  <si>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</si>
  <si>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</si>
  <si>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</si>
  <si>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</si>
  <si>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</si>
  <si>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</si>
  <si>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</si>
  <si>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</si>
  <si>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</si>
  <si>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</si>
  <si>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</si>
  <si>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</si>
  <si>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</si>
  <si>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</si>
  <si>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</si>
  <si>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d</t>
  </si>
  <si>
    <t>gt</t>
  </si>
  <si>
    <t>t</t>
  </si>
  <si>
    <t>GRP.1</t>
  </si>
  <si>
    <t>GRP.2</t>
  </si>
  <si>
    <t>GRP.3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</si>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</sst>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75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0" fontId="16" fillId="5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textRotation="90"/>
    </xf>
    <xf numFmtId="0" fontId="20" fillId="0" borderId="24" xfId="0" applyFont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0" borderId="0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75" fontId="0" fillId="0" borderId="0" xfId="0" applyNumberFormat="1" applyBorder="1"/>
    <xf numFmtId="0" fontId="0" fillId="0" borderId="34" xfId="0" applyBorder="1"/>
    <xf numFmtId="175" fontId="0" fillId="0" borderId="35" xfId="0" applyNumberFormat="1" applyBorder="1"/>
    <xf numFmtId="0" fontId="0" fillId="0" borderId="36" xfId="0" applyBorder="1"/>
    <xf numFmtId="2" fontId="0" fillId="0" borderId="31" xfId="0" applyNumberFormat="1" applyBorder="1"/>
  </cellXfs>
  <cellStyles count="2">
    <cellStyle name="Normal" xfId="0" builtinId="0"/>
    <cellStyle name="Pourcentage 2" xfId="1" xr:uid="{96266D42-8FFF-4CEA-9719-B14265AF08B4}"/>
  </cellStyles>
  <dxfs count="35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4"/>
      <tableStyleElement type="headerRow" dxfId="33"/>
    </tableStyle>
  </tableStyles>
  <colors>
    <mruColors>
      <color rgb="FF0033CC"/>
      <color rgb="FF000099"/>
      <color rgb="FF00FFFF"/>
      <color rgb="FF00FFCC"/>
      <color rgb="FF009E8B"/>
      <color rgb="FF00E6CB"/>
      <color rgb="FF00EABD"/>
      <color rgb="FF00F6C7"/>
      <color rgb="FF003399"/>
      <color rgb="FF3366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276225</xdr:rowOff>
        </xdr:from>
        <xdr:to>
          <xdr:col>76</xdr:col>
          <xdr:colOff>47625</xdr:colOff>
          <xdr:row>5</xdr:row>
          <xdr:rowOff>266700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18</xdr:row>
      <xdr:rowOff>198178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3190460" y="1788367"/>
          <a:ext cx="4726079" cy="2909888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3297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</a:t>
            </a:r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136071</xdr:colOff>
      <xdr:row>19</xdr:row>
      <xdr:rowOff>19439</xdr:rowOff>
    </xdr:from>
    <xdr:to>
      <xdr:col>84</xdr:col>
      <xdr:colOff>71011</xdr:colOff>
      <xdr:row>28</xdr:row>
      <xdr:rowOff>149193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3209898" y="4830536"/>
          <a:ext cx="4726598" cy="2928938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100,0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0"/>
  <sheetViews>
    <sheetView showGridLines="0" tabSelected="1" topLeftCell="A7" zoomScale="98" zoomScaleNormal="145" workbookViewId="0">
      <selection activeCell="H24" sqref="H24"/>
    </sheetView>
  </sheetViews>
  <sheetFormatPr baseColWidth="10" defaultRowHeight="15" x14ac:dyDescent="0.25"/>
  <cols>
    <col min="1" max="1" width="4.42578125" customWidth="1"/>
    <col min="2" max="2" width="44.140625" customWidth="1"/>
    <col min="3" max="3" width="12.5703125" customWidth="1"/>
    <col min="4" max="4" width="1.85546875" style="29" customWidth="1"/>
    <col min="5" max="5" width="15.28515625" customWidth="1"/>
    <col min="6" max="6" width="1.7109375" style="44" customWidth="1"/>
    <col min="7" max="7" width="12.140625" customWidth="1"/>
    <col min="8" max="9" width="12" customWidth="1"/>
    <col min="10" max="10" width="1.7109375" customWidth="1"/>
    <col min="11" max="11" width="6.5703125" customWidth="1"/>
    <col min="13" max="13" width="11.42578125" customWidth="1"/>
    <col min="14" max="14" width="0.85546875" customWidth="1"/>
    <col min="15" max="15" width="6.140625" style="1" customWidth="1"/>
    <col min="16" max="16" width="24" style="1" bestFit="1" customWidth="1"/>
    <col min="17" max="17" width="1.7109375" customWidth="1"/>
    <col min="18" max="77" width="2.7109375" customWidth="1"/>
    <col min="84" max="106" width="3.5703125" customWidth="1"/>
    <col min="107" max="123" width="2.28515625" customWidth="1"/>
  </cols>
  <sheetData>
    <row r="1" spans="1:82" ht="21.75" customHeight="1" x14ac:dyDescent="0.25">
      <c r="CD1" s="62"/>
    </row>
    <row r="2" spans="1:82" ht="15" customHeight="1" x14ac:dyDescent="0.4">
      <c r="A2" s="10"/>
      <c r="B2" s="74" t="s">
        <v>40</v>
      </c>
      <c r="C2" s="74"/>
      <c r="D2" s="74"/>
      <c r="E2" s="74"/>
      <c r="F2" s="43"/>
      <c r="G2" s="14"/>
      <c r="H2" s="102" t="s">
        <v>58</v>
      </c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82" t="s">
        <v>31</v>
      </c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</row>
    <row r="3" spans="1:82" ht="24.75" customHeight="1" x14ac:dyDescent="0.4">
      <c r="A3" s="10"/>
      <c r="B3" s="74"/>
      <c r="C3" s="74"/>
      <c r="D3" s="74"/>
      <c r="E3" s="74"/>
      <c r="F3" s="43"/>
      <c r="G3" s="14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</row>
    <row r="4" spans="1:82" ht="14.45" customHeight="1" x14ac:dyDescent="0.25">
      <c r="B4" s="12"/>
      <c r="R4" s="13"/>
      <c r="S4" s="13"/>
      <c r="T4" s="13"/>
      <c r="U4" s="13"/>
      <c r="V4" s="13"/>
      <c r="W4" s="13"/>
      <c r="X4" s="13"/>
      <c r="Y4" s="13"/>
      <c r="Z4" s="13"/>
      <c r="AA4" s="93" t="s">
        <v>20</v>
      </c>
      <c r="AB4" s="93"/>
      <c r="AC4" s="93"/>
      <c r="AD4" s="93"/>
      <c r="AE4" s="93" t="s">
        <v>21</v>
      </c>
      <c r="AF4" s="93"/>
      <c r="AG4" s="93"/>
      <c r="AH4" s="93"/>
      <c r="AI4" s="93"/>
      <c r="AJ4" s="93"/>
      <c r="BR4" s="71"/>
      <c r="BS4" s="71"/>
      <c r="BT4" s="71"/>
      <c r="BU4" s="71"/>
      <c r="BV4" s="71"/>
      <c r="BW4" s="71"/>
      <c r="BX4" s="71"/>
    </row>
    <row r="5" spans="1:82" ht="23.25" customHeight="1" x14ac:dyDescent="0.25">
      <c r="B5" s="84" t="s">
        <v>32</v>
      </c>
      <c r="C5" s="85"/>
      <c r="D5" s="27"/>
      <c r="E5" s="11"/>
      <c r="F5" s="45"/>
      <c r="R5" s="73" t="s">
        <v>16</v>
      </c>
      <c r="S5" s="73"/>
      <c r="T5" s="73"/>
      <c r="U5" s="73"/>
      <c r="V5" s="73"/>
      <c r="W5" s="73"/>
      <c r="X5" s="73"/>
      <c r="Y5" s="73"/>
      <c r="Z5" s="73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42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89"/>
      <c r="BM5" s="89"/>
      <c r="BQ5" s="72" t="s">
        <v>59</v>
      </c>
      <c r="BR5" s="72"/>
      <c r="BS5" s="72"/>
      <c r="BT5" s="72"/>
      <c r="BU5" s="72"/>
      <c r="BV5" s="72"/>
      <c r="BW5" s="72"/>
      <c r="BX5" s="72"/>
    </row>
    <row r="6" spans="1:82" ht="24" customHeight="1" x14ac:dyDescent="0.25">
      <c r="B6" s="86" t="s">
        <v>0</v>
      </c>
      <c r="C6" s="87"/>
      <c r="D6" s="27"/>
      <c r="E6" s="11"/>
      <c r="F6" s="45"/>
      <c r="R6" s="73" t="s">
        <v>24</v>
      </c>
      <c r="S6" s="73"/>
      <c r="T6" s="73"/>
      <c r="U6" s="73"/>
      <c r="V6" s="73"/>
      <c r="W6" s="73"/>
      <c r="X6" s="73"/>
      <c r="Y6" s="73"/>
      <c r="Z6" s="73"/>
      <c r="AA6" s="101"/>
      <c r="AB6" s="101"/>
      <c r="AC6" s="101"/>
      <c r="AD6" s="101"/>
      <c r="AE6" s="101"/>
      <c r="BP6" s="73" t="s">
        <v>60</v>
      </c>
      <c r="BQ6" s="73"/>
      <c r="BR6" s="73"/>
      <c r="BS6" s="73"/>
      <c r="BT6" s="73">
        <f>$O$11/5</f>
        <v>0</v>
      </c>
      <c r="BU6" s="73"/>
    </row>
    <row r="7" spans="1:82" x14ac:dyDescent="0.25">
      <c r="B7" s="12"/>
    </row>
    <row r="8" spans="1:82" x14ac:dyDescent="0.25">
      <c r="B8" s="92" t="s">
        <v>15</v>
      </c>
      <c r="C8" s="93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83" t="str">
        <f>IF(R12="L",TEXT(R9,"mmm"),"")</f>
        <v>sept</v>
      </c>
      <c r="S8" s="83"/>
      <c r="T8" s="83"/>
      <c r="U8" s="83"/>
      <c r="V8" s="94"/>
      <c r="W8" s="83" t="str">
        <f t="shared" ref="W8" si="0">IF(W12="L",TEXT(W9,"mmm"),"")</f>
        <v>oct</v>
      </c>
      <c r="X8" s="83"/>
      <c r="Y8" s="83"/>
      <c r="Z8" s="83"/>
      <c r="AA8" s="83"/>
      <c r="AB8" s="83" t="str">
        <f t="shared" ref="AB8" si="1">IF(AB12="L",TEXT(AB9,"mmm"),"")</f>
        <v>oct</v>
      </c>
      <c r="AC8" s="83"/>
      <c r="AD8" s="83"/>
      <c r="AE8" s="83"/>
      <c r="AF8" s="83"/>
      <c r="AG8" s="83" t="str">
        <f t="shared" ref="AG8" si="2">IF(AG12="L",TEXT(AG9,"mmm"),"")</f>
        <v>oct</v>
      </c>
      <c r="AH8" s="83"/>
      <c r="AI8" s="83"/>
      <c r="AJ8" s="83"/>
      <c r="AK8" s="83"/>
      <c r="AL8" s="83" t="str">
        <f t="shared" ref="AL8" si="3">IF(AL12="L",TEXT(AL9,"mmm"),"")</f>
        <v>oct</v>
      </c>
      <c r="AM8" s="83"/>
      <c r="AN8" s="83"/>
      <c r="AO8" s="83"/>
      <c r="AP8" s="83"/>
      <c r="AQ8" s="83" t="str">
        <f t="shared" ref="AQ8" si="4">IF(AQ12="L",TEXT(AQ9,"mmm"),"")</f>
        <v>nov</v>
      </c>
      <c r="AR8" s="83"/>
      <c r="AS8" s="83"/>
      <c r="AT8" s="83"/>
      <c r="AU8" s="83"/>
      <c r="AV8" s="83" t="str">
        <f t="shared" ref="AV8" si="5">IF(AV12="L",TEXT(AV9,"mmm"),"")</f>
        <v>nov</v>
      </c>
      <c r="AW8" s="83"/>
      <c r="AX8" s="83"/>
      <c r="AY8" s="83"/>
      <c r="AZ8" s="83"/>
      <c r="BA8" s="83" t="str">
        <f t="shared" ref="BA8" si="6">IF(BA12="L",TEXT(BA9,"mmm"),"")</f>
        <v>nov</v>
      </c>
      <c r="BB8" s="83"/>
      <c r="BC8" s="83"/>
      <c r="BD8" s="83"/>
      <c r="BE8" s="83"/>
      <c r="BF8" s="77" t="str">
        <f t="shared" ref="BF8" si="7">IF(BF12="L",TEXT(BF9,"mmm"),"")</f>
        <v>nov</v>
      </c>
      <c r="BG8" s="78"/>
      <c r="BH8" s="78"/>
      <c r="BI8" s="78"/>
      <c r="BJ8" s="79"/>
      <c r="BK8" s="83" t="str">
        <f t="shared" ref="BK8" si="8">IF(BK12="L",TEXT(BK9,"mmm"),"")</f>
        <v>déc</v>
      </c>
      <c r="BL8" s="83"/>
      <c r="BM8" s="83"/>
      <c r="BN8" s="83"/>
      <c r="BO8" s="83"/>
      <c r="BP8" s="83" t="str">
        <f t="shared" ref="BP8" si="9">IF(BP12="L",TEXT(BP9,"mmm"),"")</f>
        <v>déc</v>
      </c>
      <c r="BQ8" s="83"/>
      <c r="BR8" s="83"/>
      <c r="BS8" s="83"/>
      <c r="BT8" s="83"/>
      <c r="BU8" s="83" t="str">
        <f t="shared" ref="BU8" si="10">IF(BU12="L",TEXT(BU9,"mmm"),"")</f>
        <v>déc</v>
      </c>
      <c r="BV8" s="83"/>
      <c r="BW8" s="83"/>
      <c r="BX8" s="83"/>
      <c r="BY8" s="83"/>
    </row>
    <row r="9" spans="1:82" ht="16.5" customHeight="1" x14ac:dyDescent="0.25">
      <c r="G9" s="1"/>
      <c r="H9" s="1"/>
      <c r="I9" s="1"/>
      <c r="J9" s="1"/>
      <c r="K9" s="1"/>
      <c r="L9" s="1"/>
      <c r="M9" s="1"/>
      <c r="N9" s="1"/>
      <c r="P9" s="2"/>
      <c r="Q9" s="68"/>
      <c r="R9" s="80">
        <f>WORKDAY(H8,O11,)</f>
        <v>45565</v>
      </c>
      <c r="S9" s="80">
        <f>WORKDAY(R9,1)</f>
        <v>45566</v>
      </c>
      <c r="T9" s="80">
        <f t="shared" ref="T9:BO9" si="11">WORKDAY(S9,1)</f>
        <v>45567</v>
      </c>
      <c r="U9" s="80">
        <f t="shared" si="11"/>
        <v>45568</v>
      </c>
      <c r="V9" s="100">
        <f t="shared" si="11"/>
        <v>45569</v>
      </c>
      <c r="W9" s="80">
        <f t="shared" si="11"/>
        <v>45572</v>
      </c>
      <c r="X9" s="80">
        <f t="shared" si="11"/>
        <v>45573</v>
      </c>
      <c r="Y9" s="80">
        <f t="shared" si="11"/>
        <v>45574</v>
      </c>
      <c r="Z9" s="80">
        <f t="shared" si="11"/>
        <v>45575</v>
      </c>
      <c r="AA9" s="80">
        <f t="shared" si="11"/>
        <v>45576</v>
      </c>
      <c r="AB9" s="80">
        <f t="shared" si="11"/>
        <v>45579</v>
      </c>
      <c r="AC9" s="80">
        <f t="shared" si="11"/>
        <v>45580</v>
      </c>
      <c r="AD9" s="80">
        <f t="shared" si="11"/>
        <v>45581</v>
      </c>
      <c r="AE9" s="80">
        <f t="shared" si="11"/>
        <v>45582</v>
      </c>
      <c r="AF9" s="80">
        <f t="shared" si="11"/>
        <v>45583</v>
      </c>
      <c r="AG9" s="80">
        <f t="shared" si="11"/>
        <v>45586</v>
      </c>
      <c r="AH9" s="80">
        <f t="shared" si="11"/>
        <v>45587</v>
      </c>
      <c r="AI9" s="80">
        <f t="shared" si="11"/>
        <v>45588</v>
      </c>
      <c r="AJ9" s="80">
        <f t="shared" si="11"/>
        <v>45589</v>
      </c>
      <c r="AK9" s="80">
        <f t="shared" si="11"/>
        <v>45590</v>
      </c>
      <c r="AL9" s="80">
        <f t="shared" si="11"/>
        <v>45593</v>
      </c>
      <c r="AM9" s="80">
        <f t="shared" si="11"/>
        <v>45594</v>
      </c>
      <c r="AN9" s="80">
        <f t="shared" si="11"/>
        <v>45595</v>
      </c>
      <c r="AO9" s="80">
        <f t="shared" si="11"/>
        <v>45596</v>
      </c>
      <c r="AP9" s="80">
        <f t="shared" si="11"/>
        <v>45597</v>
      </c>
      <c r="AQ9" s="80">
        <f t="shared" si="11"/>
        <v>45600</v>
      </c>
      <c r="AR9" s="80">
        <f t="shared" si="11"/>
        <v>45601</v>
      </c>
      <c r="AS9" s="80">
        <f t="shared" si="11"/>
        <v>45602</v>
      </c>
      <c r="AT9" s="80">
        <f t="shared" si="11"/>
        <v>45603</v>
      </c>
      <c r="AU9" s="80">
        <f t="shared" si="11"/>
        <v>45604</v>
      </c>
      <c r="AV9" s="80">
        <f t="shared" si="11"/>
        <v>45607</v>
      </c>
      <c r="AW9" s="80">
        <f t="shared" si="11"/>
        <v>45608</v>
      </c>
      <c r="AX9" s="80">
        <f t="shared" si="11"/>
        <v>45609</v>
      </c>
      <c r="AY9" s="80">
        <f t="shared" si="11"/>
        <v>45610</v>
      </c>
      <c r="AZ9" s="80">
        <f t="shared" si="11"/>
        <v>45611</v>
      </c>
      <c r="BA9" s="80">
        <f t="shared" si="11"/>
        <v>45614</v>
      </c>
      <c r="BB9" s="80">
        <f t="shared" si="11"/>
        <v>45615</v>
      </c>
      <c r="BC9" s="80">
        <f t="shared" si="11"/>
        <v>45616</v>
      </c>
      <c r="BD9" s="80">
        <f t="shared" si="11"/>
        <v>45617</v>
      </c>
      <c r="BE9" s="80">
        <f t="shared" si="11"/>
        <v>45618</v>
      </c>
      <c r="BF9" s="80">
        <f>WORKDAY(BE9,1)</f>
        <v>45621</v>
      </c>
      <c r="BG9" s="80">
        <f t="shared" si="11"/>
        <v>45622</v>
      </c>
      <c r="BH9" s="80">
        <f t="shared" si="11"/>
        <v>45623</v>
      </c>
      <c r="BI9" s="80">
        <f t="shared" si="11"/>
        <v>45624</v>
      </c>
      <c r="BJ9" s="80">
        <f t="shared" si="11"/>
        <v>45625</v>
      </c>
      <c r="BK9" s="80">
        <f t="shared" si="11"/>
        <v>45628</v>
      </c>
      <c r="BL9" s="80">
        <f t="shared" si="11"/>
        <v>45629</v>
      </c>
      <c r="BM9" s="80">
        <f t="shared" si="11"/>
        <v>45630</v>
      </c>
      <c r="BN9" s="80">
        <f t="shared" si="11"/>
        <v>45631</v>
      </c>
      <c r="BO9" s="80">
        <f t="shared" si="11"/>
        <v>45632</v>
      </c>
      <c r="BP9" s="80">
        <f t="shared" ref="BP9" si="12">WORKDAY(BO9,1)</f>
        <v>45635</v>
      </c>
      <c r="BQ9" s="80">
        <f t="shared" ref="BQ9" si="13">WORKDAY(BP9,1)</f>
        <v>45636</v>
      </c>
      <c r="BR9" s="80">
        <f t="shared" ref="BR9" si="14">WORKDAY(BQ9,1)</f>
        <v>45637</v>
      </c>
      <c r="BS9" s="80">
        <f t="shared" ref="BS9" si="15">WORKDAY(BR9,1)</f>
        <v>45638</v>
      </c>
      <c r="BT9" s="80">
        <f t="shared" ref="BT9" si="16">WORKDAY(BS9,1)</f>
        <v>45639</v>
      </c>
      <c r="BU9" s="80">
        <f t="shared" ref="BU9" si="17">WORKDAY(BT9,1)</f>
        <v>45642</v>
      </c>
      <c r="BV9" s="80">
        <f t="shared" ref="BV9" si="18">WORKDAY(BU9,1)</f>
        <v>45643</v>
      </c>
      <c r="BW9" s="80">
        <f t="shared" ref="BW9" si="19">WORKDAY(BV9,1)</f>
        <v>45644</v>
      </c>
      <c r="BX9" s="80">
        <f t="shared" ref="BX9" si="20">WORKDAY(BW9,1)</f>
        <v>45645</v>
      </c>
      <c r="BY9" s="80">
        <f t="shared" ref="BY9" si="21">WORKDAY(BX9,1)</f>
        <v>45646</v>
      </c>
    </row>
    <row r="10" spans="1:82" x14ac:dyDescent="0.25">
      <c r="B10" s="70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69"/>
      <c r="O10" s="69"/>
      <c r="P10" s="2"/>
      <c r="Q10" s="68"/>
      <c r="R10" s="81"/>
      <c r="S10" s="81"/>
      <c r="T10" s="81"/>
      <c r="U10" s="81"/>
      <c r="V10" s="100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</row>
    <row r="11" spans="1:82" x14ac:dyDescent="0.25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81"/>
      <c r="S11" s="81"/>
      <c r="T11" s="81"/>
      <c r="U11" s="81"/>
      <c r="V11" s="100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</row>
    <row r="12" spans="1:82" x14ac:dyDescent="0.25">
      <c r="A12" s="40"/>
      <c r="B12" s="95" t="s">
        <v>14</v>
      </c>
      <c r="C12" s="95"/>
      <c r="D12" s="95"/>
      <c r="E12" s="95"/>
      <c r="F12" s="47"/>
      <c r="G12" s="97" t="s">
        <v>6</v>
      </c>
      <c r="H12" s="98"/>
      <c r="I12" s="99"/>
      <c r="J12" s="19"/>
      <c r="K12" s="6"/>
      <c r="L12" s="75" t="s">
        <v>7</v>
      </c>
      <c r="M12" s="76"/>
      <c r="N12" s="19"/>
      <c r="O12" s="6"/>
      <c r="P12" s="6" t="s">
        <v>52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ht="15.75" customHeight="1" x14ac:dyDescent="0.25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33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90">
        <f>WEEKNUM(R9,11)</f>
        <v>40</v>
      </c>
      <c r="S13" s="91"/>
      <c r="T13" s="91"/>
      <c r="U13" s="91"/>
      <c r="V13" s="91"/>
      <c r="W13" s="90">
        <f>WEEKNUM(W9,11)</f>
        <v>41</v>
      </c>
      <c r="X13" s="91"/>
      <c r="Y13" s="91"/>
      <c r="Z13" s="91"/>
      <c r="AA13" s="91"/>
      <c r="AB13" s="90">
        <f t="shared" ref="AB13" si="23">WEEKNUM(AB9,11)</f>
        <v>42</v>
      </c>
      <c r="AC13" s="91"/>
      <c r="AD13" s="91"/>
      <c r="AE13" s="91"/>
      <c r="AF13" s="91"/>
      <c r="AG13" s="90">
        <f t="shared" ref="AG13" si="24">WEEKNUM(AG9,11)</f>
        <v>43</v>
      </c>
      <c r="AH13" s="91"/>
      <c r="AI13" s="91"/>
      <c r="AJ13" s="91"/>
      <c r="AK13" s="91"/>
      <c r="AL13" s="90">
        <f t="shared" ref="AL13" si="25">WEEKNUM(AL9,11)</f>
        <v>44</v>
      </c>
      <c r="AM13" s="91"/>
      <c r="AN13" s="91"/>
      <c r="AO13" s="91"/>
      <c r="AP13" s="91"/>
      <c r="AQ13" s="90">
        <f t="shared" ref="AQ13" si="26">WEEKNUM(AQ9,11)</f>
        <v>45</v>
      </c>
      <c r="AR13" s="91"/>
      <c r="AS13" s="91"/>
      <c r="AT13" s="91"/>
      <c r="AU13" s="91"/>
      <c r="AV13" s="90">
        <f t="shared" ref="AV13" si="27">WEEKNUM(AV9,11)</f>
        <v>46</v>
      </c>
      <c r="AW13" s="91"/>
      <c r="AX13" s="91"/>
      <c r="AY13" s="91"/>
      <c r="AZ13" s="91"/>
      <c r="BA13" s="90">
        <f t="shared" ref="BA13" si="28">WEEKNUM(BA9,11)</f>
        <v>47</v>
      </c>
      <c r="BB13" s="91"/>
      <c r="BC13" s="91"/>
      <c r="BD13" s="91"/>
      <c r="BE13" s="91"/>
      <c r="BF13" s="90">
        <f t="shared" ref="BF13" si="29">WEEKNUM(BF9,11)</f>
        <v>48</v>
      </c>
      <c r="BG13" s="91"/>
      <c r="BH13" s="91"/>
      <c r="BI13" s="91"/>
      <c r="BJ13" s="91"/>
      <c r="BK13" s="90">
        <f t="shared" ref="BK13" si="30">WEEKNUM(BK9,11)</f>
        <v>49</v>
      </c>
      <c r="BL13" s="91"/>
      <c r="BM13" s="91"/>
      <c r="BN13" s="91"/>
      <c r="BO13" s="91"/>
      <c r="BP13" s="90">
        <f t="shared" ref="BP13" si="31">WEEKNUM(BP9,11)</f>
        <v>50</v>
      </c>
      <c r="BQ13" s="91"/>
      <c r="BR13" s="91"/>
      <c r="BS13" s="91"/>
      <c r="BT13" s="91"/>
      <c r="BU13" s="90">
        <f t="shared" ref="BU13" si="32">WEEKNUM(BU9,11)</f>
        <v>51</v>
      </c>
      <c r="BV13" s="91"/>
      <c r="BW13" s="91"/>
      <c r="BX13" s="91"/>
      <c r="BY13" s="91"/>
    </row>
    <row r="14" spans="1:82" ht="24.95" customHeight="1" x14ac:dyDescent="0.25">
      <c r="A14" s="38">
        <v>1</v>
      </c>
      <c r="B14" s="16" t="s">
        <v>42</v>
      </c>
      <c r="C14" s="17">
        <v>0.2</v>
      </c>
      <c r="D14" s="26">
        <f>IF(E14&lt;&gt;"",_xlfn.XLOOKUP(E14,'Parametre Gantt'!$G$3:$G$17,'Parametre Gantt'!$F$3:$F$17,""),0)</f>
        <v>14</v>
      </c>
      <c r="E14" s="17" t="s">
        <v>41</v>
      </c>
      <c r="F14" s="56">
        <f>_xlfn.XLOOKUP(E14,'Parametre Gantt'!$G$3:$G$17,'Parametre Gantt'!$H$3:$H$17,"")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19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19" si="34">IF(LOWER(B14)="formation","/",IF(AND(L14&lt;&gt;"",M14&lt;&gt;""),NETWORKDAYS(L14,M14),""))</f>
        <v/>
      </c>
      <c r="P14" s="6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24.95" customHeight="1" x14ac:dyDescent="0.25">
      <c r="A15" s="38">
        <v>2</v>
      </c>
      <c r="B15" s="16" t="s">
        <v>44</v>
      </c>
      <c r="C15" s="17">
        <v>0.5</v>
      </c>
      <c r="D15" s="26">
        <f>IF(E15&lt;&gt;"",_xlfn.XLOOKUP(E15,'Parametre Gantt'!$G$3:$G$17,'Parametre Gantt'!$F$3:$F$17,""),0)</f>
        <v>2</v>
      </c>
      <c r="E15" s="17" t="s">
        <v>27</v>
      </c>
      <c r="F15" s="56">
        <f>_xlfn.XLOOKUP(E15,'Parametre Gantt'!$G$3:$G$17,'Parametre Gantt'!$H$3:$H$17,"")</f>
        <v>0</v>
      </c>
      <c r="G15" s="18">
        <v>45569</v>
      </c>
      <c r="H15" s="18">
        <v>45573</v>
      </c>
      <c r="I15" s="64">
        <v>0.5</v>
      </c>
      <c r="J15" s="21"/>
      <c r="K15" s="34">
        <f t="shared" si="33"/>
        <v>3</v>
      </c>
      <c r="L15" s="18">
        <v>45569</v>
      </c>
      <c r="M15" s="18"/>
      <c r="N15" s="25"/>
      <c r="O15" s="34" t="str">
        <f t="shared" si="34"/>
        <v/>
      </c>
      <c r="P15" s="65" t="s">
        <v>54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24.95" customHeight="1" x14ac:dyDescent="0.25">
      <c r="A16" s="38">
        <v>3</v>
      </c>
      <c r="B16" s="16" t="s">
        <v>53</v>
      </c>
      <c r="C16" s="17">
        <v>0.1</v>
      </c>
      <c r="D16" s="26">
        <f>IF(E16&lt;&gt;"",_xlfn.XLOOKUP(E16,'Parametre Gantt'!$G$3:$G$17,'Parametre Gantt'!$F$3:$F$17,""),0)</f>
        <v>14</v>
      </c>
      <c r="E16" s="17" t="s">
        <v>41</v>
      </c>
      <c r="F16" s="56">
        <f>_xlfn.XLOOKUP(E16,'Parametre Gantt'!$G$3:$G$17,'Parametre Gantt'!$H$3:$H$17,"")</f>
        <v>0</v>
      </c>
      <c r="G16" s="18">
        <v>45569</v>
      </c>
      <c r="H16" s="18">
        <v>45583</v>
      </c>
      <c r="I16" s="64">
        <v>0.5</v>
      </c>
      <c r="J16" s="21"/>
      <c r="K16" s="34">
        <f t="shared" si="33"/>
        <v>11</v>
      </c>
      <c r="L16" s="18">
        <v>45569</v>
      </c>
      <c r="M16" s="18"/>
      <c r="N16" s="25"/>
      <c r="O16" s="34" t="str">
        <f t="shared" si="34"/>
        <v/>
      </c>
      <c r="P16" s="65" t="s">
        <v>61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24.95" customHeight="1" x14ac:dyDescent="0.25">
      <c r="A17" s="38">
        <v>4</v>
      </c>
      <c r="B17" s="16" t="s">
        <v>55</v>
      </c>
      <c r="C17" s="17">
        <v>0</v>
      </c>
      <c r="D17" s="26">
        <f>IF(E17&lt;&gt;"",_xlfn.XLOOKUP(E17,'Parametre Gantt'!$G$3:$G$17,'Parametre Gantt'!$F$3:$F$17,""),0)</f>
        <v>14</v>
      </c>
      <c r="E17" s="17" t="s">
        <v>41</v>
      </c>
      <c r="F17" s="56">
        <f>_xlfn.XLOOKUP(E17,'Parametre Gantt'!$G$3:$G$17,'Parametre Gantt'!$H$3:$H$17,"")</f>
        <v>0</v>
      </c>
      <c r="G17" s="18">
        <v>45583</v>
      </c>
      <c r="H17" s="18">
        <v>45590</v>
      </c>
      <c r="I17" s="64">
        <v>0.95833333333333337</v>
      </c>
      <c r="J17" s="21"/>
      <c r="K17" s="34">
        <f t="shared" si="33"/>
        <v>6</v>
      </c>
      <c r="L17" s="18"/>
      <c r="M17" s="18"/>
      <c r="N17" s="25"/>
      <c r="O17" s="34" t="str">
        <f t="shared" si="34"/>
        <v/>
      </c>
      <c r="P17" s="65" t="s">
        <v>57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ht="24.95" customHeight="1" x14ac:dyDescent="0.25">
      <c r="A18" s="38">
        <v>5</v>
      </c>
      <c r="B18" s="16" t="s">
        <v>56</v>
      </c>
      <c r="C18" s="17">
        <v>0</v>
      </c>
      <c r="D18" s="26">
        <f>IF(E18&lt;&gt;"",_xlfn.XLOOKUP(E18,'Parametre Gantt'!$G$3:$G$17,'Parametre Gantt'!$F$3:$F$17,""),0)</f>
        <v>14</v>
      </c>
      <c r="E18" s="17" t="s">
        <v>41</v>
      </c>
      <c r="F18" s="56">
        <f>_xlfn.XLOOKUP(E18,'Parametre Gantt'!$G$3:$G$17,'Parametre Gantt'!$H$3:$H$17,"")</f>
        <v>0</v>
      </c>
      <c r="G18" s="18">
        <v>45597</v>
      </c>
      <c r="H18" s="18">
        <v>45604</v>
      </c>
      <c r="I18" s="64">
        <v>0.54097222222222219</v>
      </c>
      <c r="J18" s="21"/>
      <c r="K18" s="34">
        <f t="shared" si="33"/>
        <v>6</v>
      </c>
      <c r="L18" s="18"/>
      <c r="M18" s="18"/>
      <c r="N18" s="25"/>
      <c r="O18" s="34" t="str">
        <f t="shared" si="34"/>
        <v/>
      </c>
      <c r="P18" s="65" t="s">
        <v>57</v>
      </c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24.95" customHeight="1" x14ac:dyDescent="0.25">
      <c r="A19" s="38">
        <v>6</v>
      </c>
      <c r="B19" s="16" t="s">
        <v>5</v>
      </c>
      <c r="C19" s="17"/>
      <c r="D19" s="26">
        <f>IF(E19&lt;&gt;"",_xlfn.XLOOKUP(E19,'Parametre Gantt'!$G$3:$G$17,'Parametre Gantt'!$F$3:$F$17,""),0)</f>
        <v>0</v>
      </c>
      <c r="E19" s="17"/>
      <c r="F19" s="56">
        <f>_xlfn.XLOOKUP(E19,'Parametre Gantt'!$G$3:$G$17,'Parametre Gantt'!$H$3:$H$17,"")</f>
        <v>0</v>
      </c>
      <c r="G19" s="18"/>
      <c r="H19" s="18"/>
      <c r="I19" s="64"/>
      <c r="J19" s="21"/>
      <c r="K19" s="34" t="str">
        <f t="shared" si="33"/>
        <v/>
      </c>
      <c r="L19" s="18"/>
      <c r="M19" s="18"/>
      <c r="N19" s="25"/>
      <c r="O19" s="34" t="str">
        <f t="shared" si="34"/>
        <v/>
      </c>
      <c r="P19" s="65"/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CD19" t="str">
        <f>IF(AND($G21&lt;=R$9, $H21&gt;=R$9, ISNUMBER(FIND(LOWER('Parametre Gantt'!$A$3), LOWER($B21)))),'Parametre Gantt'!B10,"")</f>
        <v/>
      </c>
    </row>
    <row r="20" spans="1:82" ht="24.95" customHeight="1" x14ac:dyDescent="0.25">
      <c r="A20" s="38">
        <v>7</v>
      </c>
      <c r="B20" s="16" t="s">
        <v>45</v>
      </c>
      <c r="C20" s="17"/>
      <c r="D20" s="26">
        <f>IF(E20&lt;&gt;"",_xlfn.XLOOKUP(E20,'Parametre Gantt'!$G$3:$G$17,'Parametre Gantt'!$F$3:$F$17,""),0)</f>
        <v>0</v>
      </c>
      <c r="E20" s="17"/>
      <c r="F20" s="56">
        <f>_xlfn.XLOOKUP(E20,'Parametre Gantt'!$G$3:$G$17,'Parametre Gantt'!$H$3:$H$17,"")</f>
        <v>0</v>
      </c>
      <c r="G20" s="18"/>
      <c r="H20" s="18"/>
      <c r="I20" s="64"/>
      <c r="J20" s="21"/>
      <c r="K20" s="34" t="str">
        <f>IF(LOWER(B20)="formation","/",IF(AND(G20&lt;&gt;"",H20&lt;&gt;""),NETWORKDAYS(G20,H20),""))</f>
        <v/>
      </c>
      <c r="L20" s="18"/>
      <c r="M20" s="18"/>
      <c r="N20" s="25"/>
      <c r="O20" s="34" t="str">
        <f>IF(LOWER(B20)="formation","/",IF(AND(L20&lt;&gt;"",M20&lt;&gt;""),NETWORKDAYS(L20,M20),""))</f>
        <v/>
      </c>
      <c r="P20" s="6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CD20" t="str">
        <f>IF(AND($G22&lt;=R$9, $H22&gt;=R$9, ISNUMBER(FIND(LOWER('Parametre Gantt'!$A$3), LOWER($B22)))),'Parametre Gantt'!B11,"")</f>
        <v/>
      </c>
    </row>
    <row r="21" spans="1:82" ht="24.95" customHeight="1" x14ac:dyDescent="0.25">
      <c r="A21" s="38">
        <v>8</v>
      </c>
      <c r="B21" s="16" t="s">
        <v>45</v>
      </c>
      <c r="C21" s="17"/>
      <c r="D21" s="26">
        <f>IF(E21&lt;&gt;"",_xlfn.XLOOKUP(E21,'Parametre Gantt'!$G$3:$G$17,'Parametre Gantt'!$F$3:$F$17,""),0)</f>
        <v>0</v>
      </c>
      <c r="E21" s="17"/>
      <c r="F21" s="56">
        <f>_xlfn.XLOOKUP(E21,'Parametre Gantt'!$G$3:$G$17,'Parametre Gantt'!$H$3:$H$17,"")</f>
        <v>0</v>
      </c>
      <c r="G21" s="18"/>
      <c r="H21" s="18"/>
      <c r="I21" s="64"/>
      <c r="J21" s="21"/>
      <c r="K21" s="34" t="str">
        <f t="shared" ref="K21:K57" si="35">IF(LOWER(B21)="formation","/",IF(AND(G21&lt;&gt;"",H21&lt;&gt;""),NETWORKDAYS(G21,H21),""))</f>
        <v/>
      </c>
      <c r="L21" s="18"/>
      <c r="M21" s="18"/>
      <c r="N21" s="25"/>
      <c r="O21" s="34" t="str">
        <f t="shared" ref="O21:O57" si="36">IF(LOWER(B21)="formation","/",IF(AND(L21&lt;&gt;"",M21&lt;&gt;""),NETWORKDAYS(L21,M21),""))</f>
        <v/>
      </c>
      <c r="P21" s="6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CD21" t="str">
        <f>IF(AND($G24&lt;=R$9, $H24&gt;=R$9, ISNUMBER(FIND(LOWER('Parametre Gantt'!$A$3), LOWER($B24)))),'Parametre Gantt'!B16,"")</f>
        <v/>
      </c>
    </row>
    <row r="22" spans="1:82" ht="24.95" customHeight="1" x14ac:dyDescent="0.25">
      <c r="A22" s="38">
        <v>9</v>
      </c>
      <c r="B22" s="16" t="s">
        <v>46</v>
      </c>
      <c r="C22" s="17"/>
      <c r="D22" s="26">
        <f>IF(E22&lt;&gt;"",_xlfn.XLOOKUP(E22,'Parametre Gantt'!$G$3:$G$17,'Parametre Gantt'!$F$3:$F$17,""),0)</f>
        <v>0</v>
      </c>
      <c r="E22" s="17"/>
      <c r="F22" s="56">
        <f>_xlfn.XLOOKUP(E22,'Parametre Gantt'!$G$3:$G$17,'Parametre Gantt'!$H$3:$H$17,"")</f>
        <v>0</v>
      </c>
      <c r="G22" s="18"/>
      <c r="H22" s="18"/>
      <c r="I22" s="64"/>
      <c r="J22" s="21"/>
      <c r="K22" s="34" t="str">
        <f t="shared" si="35"/>
        <v/>
      </c>
      <c r="L22" s="18"/>
      <c r="M22" s="18"/>
      <c r="N22" s="25"/>
      <c r="O22" s="34" t="str">
        <f t="shared" si="36"/>
        <v/>
      </c>
      <c r="P22" s="65"/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CD22" t="str">
        <f>IF(AND($G26&lt;=R$9, $H26&gt;=R$9, ISNUMBER(FIND(LOWER('Parametre Gantt'!$A$3), LOWER($B26)))),'Parametre Gantt'!B17,"")</f>
        <v/>
      </c>
    </row>
    <row r="23" spans="1:82" ht="24.95" customHeight="1" x14ac:dyDescent="0.25">
      <c r="A23" s="38">
        <v>10</v>
      </c>
      <c r="B23" s="16" t="s">
        <v>47</v>
      </c>
      <c r="C23" s="17"/>
      <c r="D23" s="26">
        <f>IF(E23&lt;&gt;"",_xlfn.XLOOKUP(E23,'Parametre Gantt'!$G$3:$G$17,'Parametre Gantt'!$F$3:$F$17,""),0)</f>
        <v>0</v>
      </c>
      <c r="E23" s="17"/>
      <c r="F23" s="56">
        <f>_xlfn.XLOOKUP(E23,'Parametre Gantt'!$G$3:$G$17,'Parametre Gantt'!$H$3:$H$17,"")</f>
        <v>0</v>
      </c>
      <c r="G23" s="18"/>
      <c r="H23" s="18"/>
      <c r="I23" s="64"/>
      <c r="J23" s="21"/>
      <c r="K23" s="34" t="str">
        <f t="shared" si="35"/>
        <v/>
      </c>
      <c r="L23" s="18"/>
      <c r="M23" s="18"/>
      <c r="N23" s="25"/>
      <c r="O23" s="34" t="str">
        <f t="shared" si="36"/>
        <v/>
      </c>
      <c r="P23" s="6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24.95" customHeight="1" x14ac:dyDescent="0.25">
      <c r="A24" s="38">
        <v>11</v>
      </c>
      <c r="B24" s="16"/>
      <c r="C24" s="17"/>
      <c r="D24" s="26">
        <f>IF(E24&lt;&gt;"",_xlfn.XLOOKUP(E24,'Parametre Gantt'!$G$3:$G$17,'Parametre Gantt'!$F$3:$F$17,""),0)</f>
        <v>0</v>
      </c>
      <c r="E24" s="17"/>
      <c r="F24" s="56">
        <f>_xlfn.XLOOKUP(E24,'Parametre Gantt'!$G$3:$G$17,'Parametre Gantt'!$H$3:$H$17,"")</f>
        <v>0</v>
      </c>
      <c r="G24" s="18"/>
      <c r="H24" s="18"/>
      <c r="I24" s="64"/>
      <c r="J24" s="21"/>
      <c r="K24" s="34" t="str">
        <f t="shared" si="35"/>
        <v/>
      </c>
      <c r="L24" s="18"/>
      <c r="M24" s="18"/>
      <c r="N24" s="25"/>
      <c r="O24" s="34" t="str">
        <f t="shared" si="36"/>
        <v/>
      </c>
      <c r="P24" s="65"/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CD24" t="str">
        <f>IF(AND($G27&lt;=R$9, $H27&gt;=R$9, ISNUMBER(FIND(LOWER('Parametre Gantt'!$A$3), LOWER($B27)))),'Parametre Gantt'!B18,"")</f>
        <v/>
      </c>
    </row>
    <row r="25" spans="1:82" ht="24.95" customHeight="1" x14ac:dyDescent="0.25">
      <c r="A25" s="38">
        <v>12</v>
      </c>
      <c r="B25" s="16"/>
      <c r="C25" s="17"/>
      <c r="D25" s="26">
        <f>IF(E25&lt;&gt;"",_xlfn.XLOOKUP(E25,'Parametre Gantt'!$G$3:$G$17,'Parametre Gantt'!$F$3:$F$17,""),0)</f>
        <v>0</v>
      </c>
      <c r="E25" s="17"/>
      <c r="F25" s="56">
        <f>_xlfn.XLOOKUP(E25,'Parametre Gantt'!$G$3:$G$17,'Parametre Gantt'!$H$3:$H$17,"")</f>
        <v>0</v>
      </c>
      <c r="G25" s="18"/>
      <c r="H25" s="18"/>
      <c r="I25" s="64"/>
      <c r="J25" s="21"/>
      <c r="K25" s="34" t="str">
        <f t="shared" si="35"/>
        <v/>
      </c>
      <c r="L25" s="18"/>
      <c r="M25" s="18"/>
      <c r="N25" s="25"/>
      <c r="O25" s="34" t="str">
        <f t="shared" si="36"/>
        <v/>
      </c>
      <c r="P25" s="65"/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ht="24.95" customHeight="1" x14ac:dyDescent="0.25">
      <c r="A26" s="38">
        <v>13</v>
      </c>
      <c r="B26" s="16"/>
      <c r="C26" s="17"/>
      <c r="D26" s="26">
        <f>IF(E26&lt;&gt;"",_xlfn.XLOOKUP(E26,'Parametre Gantt'!$G$3:$G$17,'Parametre Gantt'!$F$3:$F$17,""),0)</f>
        <v>0</v>
      </c>
      <c r="E26" s="17"/>
      <c r="F26" s="56">
        <f>_xlfn.XLOOKUP(E26,'Parametre Gantt'!$G$3:$G$17,'Parametre Gantt'!$H$3:$H$17,"")</f>
        <v>0</v>
      </c>
      <c r="G26" s="18"/>
      <c r="H26" s="18"/>
      <c r="I26" s="64"/>
      <c r="J26" s="21"/>
      <c r="K26" s="34" t="str">
        <f t="shared" si="35"/>
        <v/>
      </c>
      <c r="L26" s="18"/>
      <c r="M26" s="18"/>
      <c r="N26" s="25"/>
      <c r="O26" s="34" t="str">
        <f t="shared" si="36"/>
        <v/>
      </c>
      <c r="P26" s="65"/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CD26" t="str">
        <f>IF(AND($G30&lt;=R$9, $H30&gt;=R$9, ISNUMBER(FIND(LOWER('Parametre Gantt'!$A$3), LOWER($B30)))),'Parametre Gantt'!B19,"")</f>
        <v/>
      </c>
    </row>
    <row r="27" spans="1:82" ht="24.95" customHeight="1" x14ac:dyDescent="0.25">
      <c r="A27" s="38">
        <v>14</v>
      </c>
      <c r="B27" s="16"/>
      <c r="C27" s="17"/>
      <c r="D27" s="26">
        <f>IF(E27&lt;&gt;"",_xlfn.XLOOKUP(E27,'Parametre Gantt'!$G$3:$G$17,'Parametre Gantt'!$F$3:$F$17,""),0)</f>
        <v>0</v>
      </c>
      <c r="E27" s="17"/>
      <c r="F27" s="56">
        <f>_xlfn.XLOOKUP(E27,'Parametre Gantt'!$G$3:$G$17,'Parametre Gantt'!$H$3:$H$17,"")</f>
        <v>0</v>
      </c>
      <c r="G27" s="18"/>
      <c r="H27" s="18"/>
      <c r="I27" s="64"/>
      <c r="J27" s="21"/>
      <c r="K27" s="34" t="str">
        <f t="shared" si="35"/>
        <v/>
      </c>
      <c r="L27" s="18"/>
      <c r="M27" s="18"/>
      <c r="N27" s="25"/>
      <c r="O27" s="34" t="str">
        <f t="shared" si="36"/>
        <v/>
      </c>
      <c r="P27" s="65"/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IF(AND($G31&lt;=R$9, $H31&gt;=R$9, ISNUMBER(FIND(LOWER('Parametre Gantt'!$A$3), LOWER($B31)))),'Parametre Gantt'!B20,"")</f>
        <v/>
      </c>
    </row>
    <row r="28" spans="1:82" ht="24.95" customHeight="1" x14ac:dyDescent="0.25">
      <c r="A28" s="38">
        <v>15</v>
      </c>
      <c r="B28" s="16"/>
      <c r="C28" s="17"/>
      <c r="D28" s="26">
        <f>IF(E28&lt;&gt;"",_xlfn.XLOOKUP(E28,'Parametre Gantt'!$G$3:$G$17,'Parametre Gantt'!$F$3:$F$17,""),0)</f>
        <v>0</v>
      </c>
      <c r="E28" s="17"/>
      <c r="F28" s="56">
        <f>_xlfn.XLOOKUP(E28,'Parametre Gantt'!$G$3:$G$17,'Parametre Gantt'!$H$3:$H$17,"")</f>
        <v>0</v>
      </c>
      <c r="G28" s="18"/>
      <c r="H28" s="18"/>
      <c r="I28" s="64"/>
      <c r="J28" s="21"/>
      <c r="K28" s="34" t="str">
        <f t="shared" si="35"/>
        <v/>
      </c>
      <c r="L28" s="18"/>
      <c r="M28" s="18"/>
      <c r="N28" s="25"/>
      <c r="O28" s="34" t="str">
        <f t="shared" si="36"/>
        <v/>
      </c>
      <c r="P28" s="65"/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</row>
    <row r="29" spans="1:82" ht="24.95" customHeight="1" x14ac:dyDescent="0.25">
      <c r="A29" s="38">
        <v>16</v>
      </c>
      <c r="B29" s="16"/>
      <c r="C29" s="17"/>
      <c r="D29" s="26"/>
      <c r="E29" s="17"/>
      <c r="F29" s="56"/>
      <c r="G29" s="18"/>
      <c r="H29" s="18"/>
      <c r="I29" s="64"/>
      <c r="J29" s="21"/>
      <c r="K29" s="34" t="str">
        <f t="shared" si="35"/>
        <v/>
      </c>
      <c r="L29" s="18"/>
      <c r="M29" s="18"/>
      <c r="N29" s="25"/>
      <c r="O29" s="34" t="str">
        <f t="shared" si="36"/>
        <v/>
      </c>
      <c r="P29" s="65"/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</row>
    <row r="30" spans="1:82" ht="24.95" customHeight="1" x14ac:dyDescent="0.25">
      <c r="A30" s="38">
        <v>17</v>
      </c>
      <c r="B30" s="16"/>
      <c r="C30" s="17"/>
      <c r="D30" s="26">
        <f>IF(E30&lt;&gt;"",_xlfn.XLOOKUP(E30,'Parametre Gantt'!$G$3:$G$17,'Parametre Gantt'!$F$3:$F$17,""),0)</f>
        <v>0</v>
      </c>
      <c r="E30" s="17"/>
      <c r="F30" s="56">
        <f>_xlfn.XLOOKUP(E30,'Parametre Gantt'!$G$3:$G$17,'Parametre Gantt'!$H$3:$H$17,"")</f>
        <v>0</v>
      </c>
      <c r="G30" s="18"/>
      <c r="H30" s="18"/>
      <c r="I30" s="64"/>
      <c r="J30" s="21"/>
      <c r="K30" s="34" t="str">
        <f t="shared" si="35"/>
        <v/>
      </c>
      <c r="L30" s="18"/>
      <c r="M30" s="18"/>
      <c r="N30" s="25"/>
      <c r="O30" s="34" t="str">
        <f t="shared" si="36"/>
        <v/>
      </c>
      <c r="P30" s="6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CD30" t="str">
        <f>IF(AND($G33&lt;=R$9, $H33&gt;=R$9, ISNUMBER(FIND(LOWER('Parametre Gantt'!$A$3), LOWER($B33)))),'Parametre Gantt'!B21,"")</f>
        <v/>
      </c>
    </row>
    <row r="31" spans="1:82" ht="24.95" customHeight="1" x14ac:dyDescent="0.25">
      <c r="A31" s="38">
        <v>18</v>
      </c>
      <c r="B31" s="16"/>
      <c r="C31" s="17"/>
      <c r="D31" s="26">
        <f>IF(E31&lt;&gt;"",_xlfn.XLOOKUP(E31,'Parametre Gantt'!$G$3:$G$17,'Parametre Gantt'!$F$3:$F$17,""),0)</f>
        <v>0</v>
      </c>
      <c r="E31" s="17"/>
      <c r="F31" s="56">
        <f>_xlfn.XLOOKUP(E31,'Parametre Gantt'!$G$3:$G$17,'Parametre Gantt'!$H$3:$H$17,"")</f>
        <v>0</v>
      </c>
      <c r="G31" s="18"/>
      <c r="H31" s="18"/>
      <c r="I31" s="64"/>
      <c r="J31" s="21"/>
      <c r="K31" s="34" t="str">
        <f t="shared" si="35"/>
        <v/>
      </c>
      <c r="L31" s="18"/>
      <c r="M31" s="18"/>
      <c r="N31" s="25"/>
      <c r="O31" s="34" t="str">
        <f t="shared" si="36"/>
        <v/>
      </c>
      <c r="P31" s="6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CD31" t="str">
        <f>IF(AND($G34&lt;=R$9, $H34&gt;=R$9, ISNUMBER(FIND(LOWER('Parametre Gantt'!$A$3), LOWER($B34)))),'Parametre Gantt'!B22,"")</f>
        <v/>
      </c>
    </row>
    <row r="32" spans="1:82" ht="24.95" customHeight="1" x14ac:dyDescent="0.25">
      <c r="A32" s="38">
        <v>19</v>
      </c>
      <c r="B32" s="16"/>
      <c r="C32" s="17"/>
      <c r="D32" s="26">
        <f>IF(E32&lt;&gt;"",_xlfn.XLOOKUP(E32,'Parametre Gantt'!$G$3:$G$17,'Parametre Gantt'!$F$3:$F$17,""),0)</f>
        <v>0</v>
      </c>
      <c r="E32" s="17"/>
      <c r="F32" s="56">
        <f>_xlfn.XLOOKUP(E32,'Parametre Gantt'!$G$3:$G$17,'Parametre Gantt'!$H$3:$H$17,"")</f>
        <v>0</v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6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77" ht="24.95" customHeight="1" x14ac:dyDescent="0.25">
      <c r="A33" s="38">
        <v>20</v>
      </c>
      <c r="B33" s="16"/>
      <c r="C33" s="17"/>
      <c r="D33" s="26">
        <f>IF(E33&lt;&gt;"",_xlfn.XLOOKUP(E33,'Parametre Gantt'!$G$3:$G$17,'Parametre Gantt'!$F$3:$F$17,""),0)</f>
        <v>0</v>
      </c>
      <c r="E33" s="17"/>
      <c r="F33" s="56">
        <f>_xlfn.XLOOKUP(E33,'Parametre Gantt'!$G$3:$G$17,'Parametre Gantt'!$H$3:$H$17,"")</f>
        <v>0</v>
      </c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6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77" ht="24.95" customHeight="1" x14ac:dyDescent="0.25">
      <c r="A34" s="38">
        <v>21</v>
      </c>
      <c r="B34" s="16"/>
      <c r="C34" s="17"/>
      <c r="D34" s="26">
        <f>IF(E34&lt;&gt;"",_xlfn.XLOOKUP(E34,'Parametre Gantt'!$G$3:$G$17,'Parametre Gantt'!$F$3:$F$17,""),0)</f>
        <v>0</v>
      </c>
      <c r="E34" s="17"/>
      <c r="F34" s="56">
        <f>_xlfn.XLOOKUP(E34,'Parametre Gantt'!$G$3:$G$17,'Parametre Gantt'!$H$3:$H$17,"")</f>
        <v>0</v>
      </c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6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</row>
    <row r="35" spans="1:77" ht="24.95" customHeight="1" x14ac:dyDescent="0.25">
      <c r="A35" s="38">
        <v>21.1</v>
      </c>
      <c r="B35" s="16"/>
      <c r="C35" s="17"/>
      <c r="D35" s="26">
        <f>IF(E35&lt;&gt;"",_xlfn.XLOOKUP(E35,'Parametre Gantt'!$G$3:$G$17,'Parametre Gantt'!$F$3:$F$17,""),0)</f>
        <v>0</v>
      </c>
      <c r="E35" s="17"/>
      <c r="F35" s="56">
        <f>_xlfn.XLOOKUP(E35,'Parametre Gantt'!$G$3:$G$17,'Parametre Gantt'!$H$3:$H$17,"")</f>
        <v>0</v>
      </c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6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77" ht="24.95" customHeight="1" x14ac:dyDescent="0.25">
      <c r="A36" s="38">
        <v>21.2</v>
      </c>
      <c r="B36" s="16"/>
      <c r="C36" s="17"/>
      <c r="D36" s="26">
        <f>IF(E36&lt;&gt;"",_xlfn.XLOOKUP(E36,'Parametre Gantt'!$G$3:$G$17,'Parametre Gantt'!$F$3:$F$17,""),0)</f>
        <v>0</v>
      </c>
      <c r="E36" s="17"/>
      <c r="F36" s="56">
        <f>_xlfn.XLOOKUP(E36,'Parametre Gantt'!$G$3:$G$17,'Parametre Gantt'!$H$3:$H$17,"")</f>
        <v>0</v>
      </c>
      <c r="G36" s="18"/>
      <c r="H36" s="18"/>
      <c r="I36" s="64"/>
      <c r="J36" s="21"/>
      <c r="K36" s="34"/>
      <c r="L36" s="18"/>
      <c r="M36" s="18"/>
      <c r="N36" s="25"/>
      <c r="O36" s="34"/>
      <c r="P36" s="6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</row>
    <row r="37" spans="1:77" ht="24.95" customHeight="1" x14ac:dyDescent="0.25">
      <c r="A37" s="38">
        <v>21.3</v>
      </c>
      <c r="B37" s="16"/>
      <c r="C37" s="17"/>
      <c r="D37" s="26">
        <f>IF(E37&lt;&gt;"",_xlfn.XLOOKUP(E37,'Parametre Gantt'!$G$3:$G$17,'Parametre Gantt'!$F$3:$F$17,""),0)</f>
        <v>0</v>
      </c>
      <c r="E37" s="17"/>
      <c r="F37" s="56">
        <f>_xlfn.XLOOKUP(E37,'Parametre Gantt'!$G$3:$G$17,'Parametre Gantt'!$H$3:$H$17,"")</f>
        <v>0</v>
      </c>
      <c r="G37" s="18"/>
      <c r="H37" s="18"/>
      <c r="I37" s="64"/>
      <c r="J37" s="21"/>
      <c r="K37" s="34"/>
      <c r="L37" s="18"/>
      <c r="M37" s="18"/>
      <c r="N37" s="25"/>
      <c r="O37" s="34"/>
      <c r="P37" s="6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</row>
    <row r="38" spans="1:77" ht="24.95" customHeight="1" x14ac:dyDescent="0.25">
      <c r="A38" s="38">
        <v>21.4</v>
      </c>
      <c r="B38" s="16"/>
      <c r="C38" s="17"/>
      <c r="D38" s="26">
        <f>IF(E38&lt;&gt;"",_xlfn.XLOOKUP(E38,'Parametre Gantt'!$G$3:$G$17,'Parametre Gantt'!$F$3:$F$17,""),0)</f>
        <v>0</v>
      </c>
      <c r="E38" s="17"/>
      <c r="F38" s="56">
        <f>_xlfn.XLOOKUP(E38,'Parametre Gantt'!$G$3:$G$17,'Parametre Gantt'!$H$3:$H$17,"")</f>
        <v>0</v>
      </c>
      <c r="G38" s="18"/>
      <c r="H38" s="18"/>
      <c r="I38" s="64"/>
      <c r="J38" s="21"/>
      <c r="K38" s="34"/>
      <c r="L38" s="18"/>
      <c r="M38" s="18"/>
      <c r="N38" s="25"/>
      <c r="O38" s="34"/>
      <c r="P38" s="6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77" ht="24.95" customHeight="1" x14ac:dyDescent="0.25">
      <c r="A39" s="38">
        <v>21.5</v>
      </c>
      <c r="B39" s="16"/>
      <c r="C39" s="17"/>
      <c r="D39" s="26">
        <f>IF(E39&lt;&gt;"",_xlfn.XLOOKUP(E39,'Parametre Gantt'!$G$3:$G$17,'Parametre Gantt'!$F$3:$F$17,""),0)</f>
        <v>0</v>
      </c>
      <c r="E39" s="17"/>
      <c r="F39" s="56">
        <f>_xlfn.XLOOKUP(E39,'Parametre Gantt'!$G$3:$G$17,'Parametre Gantt'!$H$3:$H$17,"")</f>
        <v>0</v>
      </c>
      <c r="G39" s="18"/>
      <c r="H39" s="18"/>
      <c r="I39" s="64"/>
      <c r="J39" s="21"/>
      <c r="K39" s="34"/>
      <c r="L39" s="18"/>
      <c r="M39" s="18"/>
      <c r="N39" s="25"/>
      <c r="O39" s="34"/>
      <c r="P39" s="6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77" ht="24.95" customHeight="1" x14ac:dyDescent="0.25">
      <c r="A40" s="38">
        <v>21.6</v>
      </c>
      <c r="B40" s="16"/>
      <c r="C40" s="17"/>
      <c r="D40" s="26">
        <f>IF(E40&lt;&gt;"",_xlfn.XLOOKUP(E40,'Parametre Gantt'!$G$3:$G$17,'Parametre Gantt'!$F$3:$F$17,""),0)</f>
        <v>0</v>
      </c>
      <c r="E40" s="17"/>
      <c r="F40" s="56">
        <f>_xlfn.XLOOKUP(E40,'Parametre Gantt'!$G$3:$G$17,'Parametre Gantt'!$H$3:$H$17,"")</f>
        <v>0</v>
      </c>
      <c r="G40" s="18"/>
      <c r="H40" s="18"/>
      <c r="I40" s="64"/>
      <c r="J40" s="21"/>
      <c r="K40" s="34"/>
      <c r="L40" s="18"/>
      <c r="M40" s="18"/>
      <c r="N40" s="25"/>
      <c r="O40" s="34"/>
      <c r="P40" s="6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</row>
    <row r="41" spans="1:77" ht="24.95" customHeight="1" x14ac:dyDescent="0.25">
      <c r="A41" s="38">
        <v>21.7</v>
      </c>
      <c r="B41" s="16"/>
      <c r="C41" s="17"/>
      <c r="D41" s="26">
        <f>IF(E41&lt;&gt;"",_xlfn.XLOOKUP(E41,'Parametre Gantt'!$G$3:$G$17,'Parametre Gantt'!$F$3:$F$17,""),0)</f>
        <v>0</v>
      </c>
      <c r="E41" s="17"/>
      <c r="F41" s="56">
        <f>_xlfn.XLOOKUP(E41,'Parametre Gantt'!$G$3:$G$17,'Parametre Gantt'!$H$3:$H$17,"")</f>
        <v>0</v>
      </c>
      <c r="G41" s="18"/>
      <c r="H41" s="18"/>
      <c r="I41" s="64"/>
      <c r="J41" s="21"/>
      <c r="K41" s="34"/>
      <c r="L41" s="18"/>
      <c r="M41" s="18"/>
      <c r="N41" s="25"/>
      <c r="O41" s="34"/>
      <c r="P41" s="6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77" ht="24.95" customHeight="1" x14ac:dyDescent="0.25">
      <c r="A42" s="38">
        <v>21.8</v>
      </c>
      <c r="B42" s="16"/>
      <c r="C42" s="17"/>
      <c r="D42" s="26">
        <f>IF(E42&lt;&gt;"",_xlfn.XLOOKUP(E42,'Parametre Gantt'!$G$3:$G$17,'Parametre Gantt'!$F$3:$F$17,""),0)</f>
        <v>0</v>
      </c>
      <c r="E42" s="17"/>
      <c r="F42" s="56">
        <f>_xlfn.XLOOKUP(E42,'Parametre Gantt'!$G$3:$G$17,'Parametre Gantt'!$H$3:$H$17,"")</f>
        <v>0</v>
      </c>
      <c r="G42" s="18"/>
      <c r="H42" s="18"/>
      <c r="I42" s="64"/>
      <c r="J42" s="21"/>
      <c r="K42" s="34"/>
      <c r="L42" s="18"/>
      <c r="M42" s="18"/>
      <c r="N42" s="25"/>
      <c r="O42" s="34"/>
      <c r="P42" s="6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77" ht="24.95" customHeight="1" x14ac:dyDescent="0.25">
      <c r="A43" s="38">
        <v>21.9</v>
      </c>
      <c r="B43" s="16"/>
      <c r="C43" s="17"/>
      <c r="D43" s="26">
        <f>IF(E43&lt;&gt;"",_xlfn.XLOOKUP(E43,'Parametre Gantt'!$G$3:$G$17,'Parametre Gantt'!$F$3:$F$17,""),0)</f>
        <v>0</v>
      </c>
      <c r="E43" s="17"/>
      <c r="F43" s="56">
        <f>_xlfn.XLOOKUP(E43,'Parametre Gantt'!$G$3:$G$17,'Parametre Gantt'!$H$3:$H$17,"")</f>
        <v>0</v>
      </c>
      <c r="G43" s="18"/>
      <c r="H43" s="18"/>
      <c r="I43" s="64"/>
      <c r="J43" s="21"/>
      <c r="K43" s="34"/>
      <c r="L43" s="18"/>
      <c r="M43" s="18"/>
      <c r="N43" s="25"/>
      <c r="O43" s="34"/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77" ht="24.75" customHeight="1" x14ac:dyDescent="0.25">
      <c r="A44" s="38">
        <v>21.1</v>
      </c>
      <c r="B44" s="16"/>
      <c r="C44" s="17"/>
      <c r="D44" s="26">
        <f>IF(E44&lt;&gt;"",_xlfn.XLOOKUP(E44,'Parametre Gantt'!$G$3:$G$17,'Parametre Gantt'!$F$3:$F$17,""),0)</f>
        <v>0</v>
      </c>
      <c r="E44" s="17"/>
      <c r="F44" s="56">
        <f>_xlfn.XLOOKUP(E44,'Parametre Gantt'!$G$3:$G$17,'Parametre Gantt'!$H$3:$H$17,"")</f>
        <v>0</v>
      </c>
      <c r="G44" s="18"/>
      <c r="H44" s="18"/>
      <c r="I44" s="64"/>
      <c r="J44" s="21"/>
      <c r="K44" s="34"/>
      <c r="L44" s="18"/>
      <c r="M44" s="18"/>
      <c r="N44" s="25"/>
      <c r="O44" s="34"/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77" ht="24.75" customHeight="1" x14ac:dyDescent="0.25">
      <c r="A45" s="38">
        <v>21.11</v>
      </c>
      <c r="B45" s="16"/>
      <c r="C45" s="17"/>
      <c r="D45" s="26">
        <f>IF(E45&lt;&gt;"",_xlfn.XLOOKUP(E45,'Parametre Gantt'!$G$3:$G$17,'Parametre Gantt'!$F$3:$F$17,""),0)</f>
        <v>0</v>
      </c>
      <c r="E45" s="17"/>
      <c r="F45" s="56">
        <f>_xlfn.XLOOKUP(E45,'Parametre Gantt'!$G$3:$G$17,'Parametre Gantt'!$H$3:$H$17,"")</f>
        <v>0</v>
      </c>
      <c r="G45" s="18"/>
      <c r="H45" s="18"/>
      <c r="I45" s="64"/>
      <c r="J45" s="21"/>
      <c r="K45" s="34"/>
      <c r="L45" s="18"/>
      <c r="M45" s="18"/>
      <c r="N45" s="25"/>
      <c r="O45" s="34"/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77" ht="24.75" customHeight="1" x14ac:dyDescent="0.25">
      <c r="A46" s="38">
        <v>21.12</v>
      </c>
      <c r="B46" s="16"/>
      <c r="C46" s="17"/>
      <c r="D46" s="26">
        <f>IF(E46&lt;&gt;"",_xlfn.XLOOKUP(E46,'Parametre Gantt'!$G$3:$G$17,'Parametre Gantt'!$F$3:$F$17,""),0)</f>
        <v>0</v>
      </c>
      <c r="E46" s="17"/>
      <c r="F46" s="56">
        <f>_xlfn.XLOOKUP(E46,'Parametre Gantt'!$G$3:$G$17,'Parametre Gantt'!$H$3:$H$17,"")</f>
        <v>0</v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77" ht="24.75" customHeight="1" x14ac:dyDescent="0.25">
      <c r="A47" s="38">
        <v>21.13</v>
      </c>
      <c r="B47" s="16"/>
      <c r="C47" s="17"/>
      <c r="D47" s="26">
        <f>IF(E47&lt;&gt;"",_xlfn.XLOOKUP(E47,'Parametre Gantt'!$G$3:$G$17,'Parametre Gantt'!$F$3:$F$17,""),0)</f>
        <v>0</v>
      </c>
      <c r="E47" s="17"/>
      <c r="F47" s="56">
        <f>_xlfn.XLOOKUP(E47,'Parametre Gantt'!$G$3:$G$17,'Parametre Gantt'!$H$3:$H$17,"")</f>
        <v>0</v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77" ht="24.75" customHeight="1" x14ac:dyDescent="0.25">
      <c r="A48" s="38">
        <v>21.14</v>
      </c>
      <c r="B48" s="16"/>
      <c r="C48" s="17"/>
      <c r="D48" s="26">
        <f>IF(E48&lt;&gt;"",_xlfn.XLOOKUP(E48,'Parametre Gantt'!$G$3:$G$17,'Parametre Gantt'!$F$3:$F$17,""),0)</f>
        <v>0</v>
      </c>
      <c r="E48" s="17"/>
      <c r="F48" s="56">
        <f>_xlfn.XLOOKUP(E48,'Parametre Gantt'!$G$3:$G$17,'Parametre Gantt'!$H$3:$H$17,"")</f>
        <v>0</v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75" customHeight="1" x14ac:dyDescent="0.25">
      <c r="A49" s="38">
        <v>21.15</v>
      </c>
      <c r="B49" s="16"/>
      <c r="C49" s="17"/>
      <c r="D49" s="26">
        <f>IF(E49&lt;&gt;"",_xlfn.XLOOKUP(E49,'Parametre Gantt'!$G$3:$G$17,'Parametre Gantt'!$F$3:$F$17,""),0)</f>
        <v>0</v>
      </c>
      <c r="E49" s="17"/>
      <c r="F49" s="56">
        <f>_xlfn.XLOOKUP(E49,'Parametre Gantt'!$G$3:$G$17,'Parametre Gantt'!$H$3:$H$17,"")</f>
        <v>0</v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75" customHeight="1" x14ac:dyDescent="0.25">
      <c r="A50" s="38">
        <v>21.16</v>
      </c>
      <c r="B50" s="16"/>
      <c r="C50" s="17"/>
      <c r="D50" s="26">
        <f>IF(E50&lt;&gt;"",_xlfn.XLOOKUP(E50,'Parametre Gantt'!$G$3:$G$17,'Parametre Gantt'!$F$3:$F$17,""),0)</f>
        <v>0</v>
      </c>
      <c r="E50" s="17"/>
      <c r="F50" s="56">
        <f>_xlfn.XLOOKUP(E50,'Parametre Gantt'!$G$3:$G$17,'Parametre Gantt'!$H$3:$H$17,"")</f>
        <v>0</v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95" customHeight="1" x14ac:dyDescent="0.25">
      <c r="A51" s="38">
        <v>21.17</v>
      </c>
      <c r="B51" s="16"/>
      <c r="C51" s="17"/>
      <c r="D51" s="26">
        <f>IF(E51&lt;&gt;"",_xlfn.XLOOKUP(E51,'Parametre Gantt'!$G$3:$G$17,'Parametre Gantt'!$F$3:$F$17,""),0)</f>
        <v>0</v>
      </c>
      <c r="E51" s="17"/>
      <c r="F51" s="56">
        <f>_xlfn.XLOOKUP(E51,'Parametre Gantt'!$G$3:$G$17,'Parametre Gantt'!$H$3:$H$17,"")</f>
        <v>0</v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95" customHeight="1" x14ac:dyDescent="0.25">
      <c r="A52" s="38">
        <v>21.18</v>
      </c>
      <c r="B52" s="16"/>
      <c r="C52" s="17"/>
      <c r="D52" s="26">
        <f>IF(E52&lt;&gt;"",_xlfn.XLOOKUP(E52,'Parametre Gantt'!$G$3:$G$17,'Parametre Gantt'!$F$3:$F$17,""),0)</f>
        <v>0</v>
      </c>
      <c r="E52" s="17"/>
      <c r="F52" s="56">
        <f>_xlfn.XLOOKUP(E52,'Parametre Gantt'!$G$3:$G$17,'Parametre Gantt'!$H$3:$H$17,"")</f>
        <v>0</v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95" customHeight="1" x14ac:dyDescent="0.25">
      <c r="A53" s="38"/>
      <c r="B53" s="16"/>
      <c r="C53" s="17"/>
      <c r="D53" s="26">
        <f>IF(E53&lt;&gt;"",_xlfn.XLOOKUP(E53,'Parametre Gantt'!$G$3:$G$17,'Parametre Gantt'!$F$3:$F$17,""),0)</f>
        <v>0</v>
      </c>
      <c r="E53" s="17"/>
      <c r="F53" s="56">
        <f>_xlfn.XLOOKUP(E53,'Parametre Gantt'!$G$3:$G$17,'Parametre Gantt'!$H$3:$H$17,"")</f>
        <v>0</v>
      </c>
      <c r="G53" s="18"/>
      <c r="H53" s="18"/>
      <c r="I53" s="64"/>
      <c r="J53" s="21"/>
      <c r="K53" s="34" t="str">
        <f t="shared" si="35"/>
        <v/>
      </c>
      <c r="L53" s="18"/>
      <c r="M53" s="18"/>
      <c r="N53" s="25"/>
      <c r="O53" s="34" t="str">
        <f t="shared" si="36"/>
        <v/>
      </c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95" customHeight="1" x14ac:dyDescent="0.25">
      <c r="A54" s="38"/>
      <c r="B54" s="16"/>
      <c r="C54" s="17"/>
      <c r="D54" s="26">
        <f>IF(E54&lt;&gt;"",_xlfn.XLOOKUP(E54,'Parametre Gantt'!$G$3:$G$17,'Parametre Gantt'!$F$3:$F$17,""),0)</f>
        <v>0</v>
      </c>
      <c r="E54" s="17"/>
      <c r="F54" s="56">
        <f>_xlfn.XLOOKUP(E54,'Parametre Gantt'!$G$3:$G$17,'Parametre Gantt'!$H$3:$H$17,"")</f>
        <v>0</v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95" customHeight="1" x14ac:dyDescent="0.25">
      <c r="A55" s="38"/>
      <c r="B55" s="16"/>
      <c r="C55" s="17"/>
      <c r="D55" s="26">
        <f>IF(E55&lt;&gt;"",_xlfn.XLOOKUP(E55,'Parametre Gantt'!$G$3:$G$17,'Parametre Gantt'!$F$3:$F$17,""),0)</f>
        <v>0</v>
      </c>
      <c r="E55" s="17"/>
      <c r="F55" s="56">
        <f>_xlfn.XLOOKUP(E55,'Parametre Gantt'!$G$3:$G$17,'Parametre Gantt'!$H$3:$H$17,"")</f>
        <v>0</v>
      </c>
      <c r="G55" s="18"/>
      <c r="H55" s="18"/>
      <c r="I55" s="64"/>
      <c r="J55" s="21"/>
      <c r="K55" s="34" t="str">
        <f t="shared" si="35"/>
        <v/>
      </c>
      <c r="L55" s="18"/>
      <c r="M55" s="18"/>
      <c r="N55" s="25"/>
      <c r="O55" s="34" t="str">
        <f t="shared" si="36"/>
        <v/>
      </c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95" customHeight="1" x14ac:dyDescent="0.25">
      <c r="A56" s="38"/>
      <c r="B56" s="16"/>
      <c r="C56" s="17"/>
      <c r="D56" s="26">
        <f>IF(E56&lt;&gt;"",_xlfn.XLOOKUP(E56,'Parametre Gantt'!$G$3:$G$17,'Parametre Gantt'!$F$3:$F$17,""),0)</f>
        <v>0</v>
      </c>
      <c r="E56" s="17"/>
      <c r="F56" s="56">
        <f>_xlfn.XLOOKUP(E56,'Parametre Gantt'!$G$3:$G$17,'Parametre Gantt'!$H$3:$H$17,"")</f>
        <v>0</v>
      </c>
      <c r="G56" s="18"/>
      <c r="H56" s="18"/>
      <c r="I56" s="64"/>
      <c r="J56" s="21"/>
      <c r="K56" s="34" t="str">
        <f t="shared" si="35"/>
        <v/>
      </c>
      <c r="L56" s="18"/>
      <c r="M56" s="18"/>
      <c r="N56" s="25"/>
      <c r="O56" s="34" t="str">
        <f t="shared" si="36"/>
        <v/>
      </c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95" customHeight="1" x14ac:dyDescent="0.25">
      <c r="A57" s="38"/>
      <c r="B57" s="16"/>
      <c r="C57" s="17"/>
      <c r="D57" s="26">
        <f>IF(E57&lt;&gt;"",_xlfn.XLOOKUP(E57,'Parametre Gantt'!$G$3:$G$17,'Parametre Gantt'!$F$3:$F$17,""),0)</f>
        <v>0</v>
      </c>
      <c r="E57" s="17"/>
      <c r="F57" s="56">
        <f>_xlfn.XLOOKUP(E57,'Parametre Gantt'!$G$3:$G$17,'Parametre Gantt'!$H$3:$H$17,"")</f>
        <v>0</v>
      </c>
      <c r="G57" s="18"/>
      <c r="H57" s="18"/>
      <c r="I57" s="64"/>
      <c r="J57" s="21"/>
      <c r="K57" s="34" t="str">
        <f t="shared" si="35"/>
        <v/>
      </c>
      <c r="L57" s="18"/>
      <c r="M57" s="18"/>
      <c r="N57" s="25"/>
      <c r="O57" s="34" t="str">
        <f t="shared" si="36"/>
        <v/>
      </c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x14ac:dyDescent="0.25">
      <c r="A58" s="50"/>
      <c r="B58" s="50"/>
      <c r="C58" s="50"/>
      <c r="D58" s="51"/>
      <c r="E58" s="50"/>
      <c r="F58" s="52"/>
      <c r="G58" s="50"/>
      <c r="H58" s="50"/>
      <c r="I58" s="50"/>
      <c r="J58" s="50"/>
      <c r="K58" s="53">
        <f>SUM(K14:K57)</f>
        <v>32</v>
      </c>
      <c r="L58" s="50"/>
      <c r="M58" s="50"/>
      <c r="N58" s="50">
        <f>SUM(N14:N57)</f>
        <v>0</v>
      </c>
      <c r="O58" s="53">
        <f>SUM(O14:O57)</f>
        <v>0</v>
      </c>
      <c r="P58" s="53"/>
      <c r="Q58" s="50"/>
      <c r="R58" s="54" t="str">
        <f t="shared" ref="R58:AT58" ca="1" si="37">IF(R9=TODAY(),"TD","")</f>
        <v/>
      </c>
      <c r="S58" s="54" t="str">
        <f t="shared" ca="1" si="37"/>
        <v/>
      </c>
      <c r="T58" s="54" t="str">
        <f t="shared" ca="1" si="37"/>
        <v/>
      </c>
      <c r="U58" s="54" t="str">
        <f t="shared" ca="1" si="37"/>
        <v/>
      </c>
      <c r="V58" s="54" t="str">
        <f t="shared" ca="1" si="37"/>
        <v>TD</v>
      </c>
      <c r="W58" s="54" t="str">
        <f t="shared" ca="1" si="37"/>
        <v/>
      </c>
      <c r="X58" s="54" t="str">
        <f t="shared" ca="1" si="37"/>
        <v/>
      </c>
      <c r="Y58" s="54" t="str">
        <f t="shared" ca="1" si="37"/>
        <v/>
      </c>
      <c r="Z58" s="54" t="str">
        <f t="shared" ca="1" si="37"/>
        <v/>
      </c>
      <c r="AA58" s="54" t="str">
        <f t="shared" ca="1" si="37"/>
        <v/>
      </c>
      <c r="AB58" s="54" t="str">
        <f t="shared" ca="1" si="37"/>
        <v/>
      </c>
      <c r="AC58" s="54" t="str">
        <f t="shared" ca="1" si="37"/>
        <v/>
      </c>
      <c r="AD58" s="54" t="str">
        <f t="shared" ca="1" si="37"/>
        <v/>
      </c>
      <c r="AE58" s="54" t="str">
        <f t="shared" ca="1" si="37"/>
        <v/>
      </c>
      <c r="AF58" s="54" t="str">
        <f t="shared" ca="1" si="37"/>
        <v/>
      </c>
      <c r="AG58" s="54" t="str">
        <f t="shared" ca="1" si="37"/>
        <v/>
      </c>
      <c r="AH58" s="54" t="str">
        <f t="shared" ca="1" si="37"/>
        <v/>
      </c>
      <c r="AI58" s="54" t="str">
        <f t="shared" ca="1" si="37"/>
        <v/>
      </c>
      <c r="AJ58" s="54" t="str">
        <f t="shared" ca="1" si="37"/>
        <v/>
      </c>
      <c r="AK58" s="54" t="str">
        <f t="shared" ca="1" si="37"/>
        <v/>
      </c>
      <c r="AL58" s="54" t="str">
        <f t="shared" ca="1" si="37"/>
        <v/>
      </c>
      <c r="AM58" s="54" t="str">
        <f t="shared" ca="1" si="37"/>
        <v/>
      </c>
      <c r="AN58" s="54" t="str">
        <f t="shared" ca="1" si="37"/>
        <v/>
      </c>
      <c r="AO58" s="54" t="str">
        <f t="shared" ca="1" si="37"/>
        <v/>
      </c>
      <c r="AP58" s="54" t="str">
        <f t="shared" ca="1" si="37"/>
        <v/>
      </c>
      <c r="AQ58" s="54" t="str">
        <f t="shared" ca="1" si="37"/>
        <v/>
      </c>
      <c r="AR58" s="54" t="str">
        <f t="shared" ca="1" si="37"/>
        <v/>
      </c>
      <c r="AS58" s="54" t="str">
        <f t="shared" ca="1" si="37"/>
        <v/>
      </c>
      <c r="AT58" s="54" t="str">
        <f t="shared" ca="1" si="37"/>
        <v/>
      </c>
      <c r="AU58" s="54" t="str">
        <f ca="1">IF(AU9=TODAY(),"TD","")</f>
        <v/>
      </c>
      <c r="AV58" s="54" t="str">
        <f t="shared" ref="AV58:BY58" ca="1" si="38">IF(AV9=TODAY(),"TD","")</f>
        <v/>
      </c>
      <c r="AW58" s="54" t="str">
        <f t="shared" ca="1" si="38"/>
        <v/>
      </c>
      <c r="AX58" s="54" t="str">
        <f t="shared" ca="1" si="38"/>
        <v/>
      </c>
      <c r="AY58" s="54" t="str">
        <f t="shared" ca="1" si="38"/>
        <v/>
      </c>
      <c r="AZ58" s="54" t="str">
        <f t="shared" ca="1" si="38"/>
        <v/>
      </c>
      <c r="BA58" s="54" t="str">
        <f t="shared" ca="1" si="38"/>
        <v/>
      </c>
      <c r="BB58" s="54" t="str">
        <f t="shared" ca="1" si="38"/>
        <v/>
      </c>
      <c r="BC58" s="54" t="str">
        <f t="shared" ca="1" si="38"/>
        <v/>
      </c>
      <c r="BD58" s="54" t="str">
        <f t="shared" ca="1" si="38"/>
        <v/>
      </c>
      <c r="BE58" s="54" t="str">
        <f t="shared" ca="1" si="38"/>
        <v/>
      </c>
      <c r="BF58" s="54" t="str">
        <f t="shared" ca="1" si="38"/>
        <v/>
      </c>
      <c r="BG58" s="54" t="str">
        <f t="shared" ca="1" si="38"/>
        <v/>
      </c>
      <c r="BH58" s="54" t="str">
        <f t="shared" ca="1" si="38"/>
        <v/>
      </c>
      <c r="BI58" s="54" t="str">
        <f t="shared" ca="1" si="38"/>
        <v/>
      </c>
      <c r="BJ58" s="54" t="str">
        <f t="shared" ca="1" si="38"/>
        <v/>
      </c>
      <c r="BK58" s="54" t="str">
        <f t="shared" ca="1" si="38"/>
        <v/>
      </c>
      <c r="BL58" s="54" t="str">
        <f t="shared" ca="1" si="38"/>
        <v/>
      </c>
      <c r="BM58" s="54" t="str">
        <f t="shared" ca="1" si="38"/>
        <v/>
      </c>
      <c r="BN58" s="54" t="str">
        <f t="shared" ca="1" si="38"/>
        <v/>
      </c>
      <c r="BO58" s="54" t="str">
        <f t="shared" ca="1" si="38"/>
        <v/>
      </c>
      <c r="BP58" s="54" t="str">
        <f t="shared" ca="1" si="38"/>
        <v/>
      </c>
      <c r="BQ58" s="54" t="str">
        <f t="shared" ca="1" si="38"/>
        <v/>
      </c>
      <c r="BR58" s="54" t="str">
        <f t="shared" ca="1" si="38"/>
        <v/>
      </c>
      <c r="BS58" s="54" t="str">
        <f t="shared" ca="1" si="38"/>
        <v/>
      </c>
      <c r="BT58" s="54" t="str">
        <f t="shared" ca="1" si="38"/>
        <v/>
      </c>
      <c r="BU58" s="54" t="str">
        <f t="shared" ca="1" si="38"/>
        <v/>
      </c>
      <c r="BV58" s="54" t="str">
        <f t="shared" ca="1" si="38"/>
        <v/>
      </c>
      <c r="BW58" s="54" t="str">
        <f t="shared" ca="1" si="38"/>
        <v/>
      </c>
      <c r="BX58" s="54" t="str">
        <f t="shared" ca="1" si="38"/>
        <v/>
      </c>
      <c r="BY58" s="55" t="str">
        <f t="shared" ca="1" si="38"/>
        <v/>
      </c>
    </row>
    <row r="60" spans="1:77" x14ac:dyDescent="0.25">
      <c r="C60" s="61"/>
    </row>
  </sheetData>
  <mergeCells count="105"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Q9:BQ11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</mergeCells>
  <conditionalFormatting sqref="A14:A57">
    <cfRule type="expression" dxfId="32" priority="13">
      <formula>AND($AA$6=F14,F14&lt;&gt;0,F14&lt;&gt;"")</formula>
    </cfRule>
    <cfRule type="expression" dxfId="31" priority="69">
      <formula>$B14&lt;&gt;""</formula>
    </cfRule>
  </conditionalFormatting>
  <conditionalFormatting sqref="A14:BY57">
    <cfRule type="expression" dxfId="30" priority="3">
      <formula>$B$14&lt;&gt;""</formula>
    </cfRule>
  </conditionalFormatting>
  <conditionalFormatting sqref="C14:C5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57">
    <cfRule type="expression" dxfId="29" priority="4">
      <formula>AND($AA$6=F14,F14&lt;&gt;0,F14&lt;&gt;"")</formula>
    </cfRule>
    <cfRule type="expression" dxfId="28" priority="5">
      <formula>D14=11</formula>
    </cfRule>
    <cfRule type="expression" dxfId="27" priority="6">
      <formula>D14=10</formula>
    </cfRule>
    <cfRule type="expression" dxfId="26" priority="7">
      <formula>D14=9</formula>
    </cfRule>
    <cfRule type="expression" dxfId="25" priority="8">
      <formula>D14=8</formula>
    </cfRule>
    <cfRule type="expression" dxfId="24" priority="14">
      <formula>D14=7</formula>
    </cfRule>
    <cfRule type="expression" dxfId="23" priority="19">
      <formula>D14=6</formula>
    </cfRule>
    <cfRule type="expression" dxfId="22" priority="20">
      <formula>D14=5</formula>
    </cfRule>
    <cfRule type="expression" dxfId="21" priority="21">
      <formula>D14=4</formula>
    </cfRule>
    <cfRule type="expression" dxfId="20" priority="22">
      <formula>D14 = 3</formula>
    </cfRule>
    <cfRule type="expression" dxfId="19" priority="23">
      <formula>D14 = 2</formula>
    </cfRule>
    <cfRule type="expression" dxfId="18" priority="24">
      <formula>D14 = 1</formula>
    </cfRule>
  </conditionalFormatting>
  <conditionalFormatting sqref="R8:BY8">
    <cfRule type="expression" dxfId="17" priority="29">
      <formula>MOD(MONTH(R9),2) = 0</formula>
    </cfRule>
  </conditionalFormatting>
  <conditionalFormatting sqref="R9:BY11">
    <cfRule type="expression" dxfId="16" priority="12" stopIfTrue="1">
      <formula>$CD$1</formula>
    </cfRule>
  </conditionalFormatting>
  <conditionalFormatting sqref="R9:BY12 R13 W13 AB13 AG13 AL13 AQ13 AV13 BA13 BF13 BK13 BP13 BU13 R14:BY57">
    <cfRule type="expression" dxfId="15" priority="2">
      <formula>R$12="V"</formula>
    </cfRule>
  </conditionalFormatting>
  <conditionalFormatting sqref="R14:BY57">
    <cfRule type="expression" dxfId="14" priority="10">
      <formula>AND($G14&lt;=R$9, $H14&gt;=R$9, $AA$6=$F14, $F14&lt;&gt;0, $F14&lt;&gt;"")</formula>
    </cfRule>
    <cfRule type="expression" dxfId="13" priority="11">
      <formula>AND($L14&lt;=R$9, $M14&gt;=R$9)</formula>
    </cfRule>
    <cfRule type="expression" dxfId="12" priority="72">
      <formula>AND($G14&lt;=R$9,$H14&gt;=R$9)</formula>
    </cfRule>
    <cfRule type="expression" dxfId="11" priority="73">
      <formula>AND(R$9=TODAY(), R$12="V")</formula>
    </cfRule>
    <cfRule type="expression" dxfId="10" priority="74">
      <formula>AND(R$9=TODAY(), R$12&lt;&gt;"V")</formula>
    </cfRule>
  </conditionalFormatting>
  <conditionalFormatting sqref="AN24">
    <cfRule type="expression" dxfId="9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57">
    <cfRule type="expression" dxfId="8" priority="1">
      <formula>I14 &lt;&gt; ""</formula>
    </cfRule>
  </conditionalFormatting>
  <dataValidations count="14">
    <dataValidation type="date" allowBlank="1" showInputMessage="1" showErrorMessage="1" errorTitle="entrez une date" sqref="N14:N23" xr:uid="{951DAB39-709B-4E12-91C3-A23129CEDC32}">
      <formula1>Q8</formula1>
      <formula2>Q8+1000</formula2>
    </dataValidation>
    <dataValidation type="date" allowBlank="1" showInputMessage="1" showErrorMessage="1" sqref="G8:I8" xr:uid="{2E3C73FE-153B-497F-88C9-DC69E382CB89}">
      <formula1>43831</formula1>
      <formula2>51501</formula2>
    </dataValidation>
    <dataValidation type="date" allowBlank="1" showInputMessage="1" showErrorMessage="1" errorTitle="entrez une date" sqref="N33" xr:uid="{41044EAB-868E-437E-864B-ED53E6189131}">
      <formula1>Q22</formula1>
      <formula2>Q22+1000</formula2>
    </dataValidation>
    <dataValidation type="date" allowBlank="1" showInputMessage="1" showErrorMessage="1" errorTitle="entrez une date" sqref="N24:N25" xr:uid="{EEB3D7FF-5844-4D67-A98B-519075D40E93}">
      <formula1>Q17</formula1>
      <formula2>Q17+1000</formula2>
    </dataValidation>
    <dataValidation type="date" allowBlank="1" showInputMessage="1" showErrorMessage="1" errorTitle="entrez une date" sqref="N30:N32 N34" xr:uid="{AF4C3FD8-2485-41BB-BEBD-C50B7C26CB8A}">
      <formula1>Q20</formula1>
      <formula2>Q20+1000</formula2>
    </dataValidation>
    <dataValidation type="date" allowBlank="1" showInputMessage="1" showErrorMessage="1" errorTitle="entrez une date" sqref="N26:N29 N38:N43" xr:uid="{D27569AE-5141-4A55-B5EF-4C2FA305D491}">
      <formula1>Q18</formula1>
      <formula2>Q18+1000</formula2>
    </dataValidation>
    <dataValidation type="date" allowBlank="1" showInputMessage="1" showErrorMessage="1" sqref="L14:M57 G14:H57 J14:J57" xr:uid="{42E20B51-5FBC-42CC-AE6E-01E0727BFA72}">
      <formula1>$H$8</formula1>
      <formula2>$H$8+1000</formula2>
    </dataValidation>
    <dataValidation type="date" allowBlank="1" showInputMessage="1" showErrorMessage="1" errorTitle="entrez une date" sqref="N53:N54" xr:uid="{4A7DB8CB-4EB4-4DA5-A177-34D85667D7D3}">
      <formula1>Q27</formula1>
      <formula2>Q27+1000</formula2>
    </dataValidation>
    <dataValidation type="date" allowBlank="1" showInputMessage="1" showErrorMessage="1" errorTitle="entrez une date" sqref="N55:N57 N52" xr:uid="{53BD962A-0BA9-4343-BDAD-976C5BC107DE}">
      <formula1>Q30</formula1>
      <formula2>Q30+1000</formula2>
    </dataValidation>
    <dataValidation type="date" allowBlank="1" showInputMessage="1" showErrorMessage="1" errorTitle="entrez une date" sqref="N35:N37" xr:uid="{04178DA1-5F55-460A-9E9F-652D11E7C6FC}">
      <formula1>Q26</formula1>
      <formula2>Q26+1000</formula2>
    </dataValidation>
    <dataValidation type="date" allowBlank="1" showInputMessage="1" showErrorMessage="1" errorTitle="entrez une date" sqref="N51" xr:uid="{F69CF673-DF58-44E0-A648-14AC50C58F0B}">
      <formula1>Q28</formula1>
      <formula2>Q28+1000</formula2>
    </dataValidation>
    <dataValidation type="date" allowBlank="1" showInputMessage="1" showErrorMessage="1" errorTitle="entrez une date" sqref="N44:N45" xr:uid="{A0CC8EB2-FF17-473D-B6E9-1C4A65ABCCCE}">
      <formula1>Q27</formula1>
      <formula2>Q27+1000</formula2>
    </dataValidation>
    <dataValidation type="date" allowBlank="1" showInputMessage="1" showErrorMessage="1" errorTitle="entrez une date" sqref="N46:N50" xr:uid="{35CD6E2D-0A16-499E-88E8-A711153F7BCE}">
      <formula1>Q30</formula1>
      <formula2>Q30+1000</formula2>
    </dataValidation>
    <dataValidation type="time" allowBlank="1" showInputMessage="1" showErrorMessage="1" sqref="I14:I57" xr:uid="{315464C8-972A-476E-B5F7-DE4D6E33D78F}">
      <formula1>0</formula1>
      <formula2>0.999305555555556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276225</xdr:rowOff>
                  </from>
                  <to>
                    <xdr:col>76</xdr:col>
                    <xdr:colOff>47625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C14:C57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A14:A57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A707E-0066-42C8-9943-E507CB91AB1D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C60B3613-D78C-44EF-95F6-1D324DEDE158}">
          <x14:formula1>
            <xm:f>'Parametre Gantt'!$H$3:$H$17</xm:f>
          </x14:formula1>
          <xm:sqref>AA6:AE6</xm:sqref>
        </x14:dataValidation>
        <x14:dataValidation type="list" allowBlank="1" showInputMessage="1" showErrorMessage="1" xr:uid="{EB4505C7-E88F-49DF-B322-DBCD5E4A7C6D}">
          <x14:formula1>
            <xm:f>'Parametre Gantt'!$G$3:$G$17</xm:f>
          </x14:formula1>
          <xm:sqref>E14:E57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7"/>
  <sheetViews>
    <sheetView workbookViewId="0">
      <selection activeCell="G13" sqref="G13"/>
    </sheetView>
  </sheetViews>
  <sheetFormatPr baseColWidth="10" defaultRowHeight="15" x14ac:dyDescent="0.25"/>
  <cols>
    <col min="3" max="3" width="16.140625" customWidth="1"/>
    <col min="5" max="5" width="15.28515625" customWidth="1"/>
    <col min="6" max="6" width="13.7109375" customWidth="1"/>
    <col min="7" max="7" width="17.5703125" customWidth="1"/>
    <col min="8" max="8" width="13.140625" customWidth="1"/>
  </cols>
  <sheetData>
    <row r="2" spans="1:9" x14ac:dyDescent="0.25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25">
      <c r="A3" t="str">
        <f>IF(AND(Gantt!$AA$5=B3,Gantt!$AE$5&lt;&gt;""),Gantt!$AE$5,'Parametre Gantt'!C3)</f>
        <v>ELEC</v>
      </c>
      <c r="B3" s="57" t="s">
        <v>17</v>
      </c>
      <c r="C3" s="9" t="s">
        <v>28</v>
      </c>
      <c r="F3" s="9">
        <v>1</v>
      </c>
      <c r="G3" s="9" t="s">
        <v>26</v>
      </c>
      <c r="H3" s="9"/>
      <c r="I3" s="9"/>
    </row>
    <row r="4" spans="1:9" x14ac:dyDescent="0.25">
      <c r="A4" t="str">
        <f>IF(AND(Gantt!$AA$5=B4,Gantt!$AE$5&lt;&gt;""),Gantt!$AE$5,'Parametre Gantt'!C4)</f>
        <v>Livrable</v>
      </c>
      <c r="B4" s="58" t="s">
        <v>18</v>
      </c>
      <c r="C4" s="9" t="s">
        <v>43</v>
      </c>
      <c r="F4" s="9">
        <v>2</v>
      </c>
      <c r="G4" s="9" t="s">
        <v>27</v>
      </c>
      <c r="H4" s="9"/>
      <c r="I4" s="9"/>
    </row>
    <row r="5" spans="1:9" x14ac:dyDescent="0.25">
      <c r="A5" t="str">
        <f>IF(AND(Gantt!$AA$5=B5,Gantt!$AE$5&lt;&gt;""),Gantt!$AE$5,'Parametre Gantt'!C5)</f>
        <v>AUTO</v>
      </c>
      <c r="B5" s="59" t="s">
        <v>19</v>
      </c>
      <c r="C5" s="9" t="s">
        <v>29</v>
      </c>
      <c r="F5" s="9">
        <v>3</v>
      </c>
      <c r="G5" s="9" t="s">
        <v>30</v>
      </c>
      <c r="H5" s="9"/>
      <c r="I5" s="9"/>
    </row>
    <row r="6" spans="1:9" x14ac:dyDescent="0.25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34</v>
      </c>
      <c r="H6" s="9"/>
      <c r="I6" s="9"/>
    </row>
    <row r="7" spans="1:9" x14ac:dyDescent="0.25">
      <c r="F7" s="9">
        <v>5</v>
      </c>
      <c r="G7" s="9" t="s">
        <v>35</v>
      </c>
      <c r="H7" s="9"/>
      <c r="I7" s="9"/>
    </row>
    <row r="8" spans="1:9" x14ac:dyDescent="0.25">
      <c r="F8" s="9">
        <v>6</v>
      </c>
      <c r="G8" s="9" t="s">
        <v>36</v>
      </c>
      <c r="H8" s="9"/>
      <c r="I8" s="9"/>
    </row>
    <row r="9" spans="1:9" x14ac:dyDescent="0.25">
      <c r="F9" s="9">
        <v>7</v>
      </c>
      <c r="G9" s="9" t="s">
        <v>37</v>
      </c>
      <c r="H9" s="9"/>
      <c r="I9" s="9"/>
    </row>
    <row r="10" spans="1:9" x14ac:dyDescent="0.25">
      <c r="F10" s="9">
        <v>8</v>
      </c>
      <c r="G10" s="9" t="s">
        <v>38</v>
      </c>
      <c r="H10" s="9"/>
      <c r="I10" s="9"/>
    </row>
    <row r="11" spans="1:9" x14ac:dyDescent="0.25">
      <c r="F11" s="9">
        <v>9</v>
      </c>
      <c r="G11" s="9" t="s">
        <v>39</v>
      </c>
      <c r="H11" s="9"/>
      <c r="I11" s="9"/>
    </row>
    <row r="12" spans="1:9" x14ac:dyDescent="0.25">
      <c r="F12" s="9">
        <v>10</v>
      </c>
      <c r="G12" s="9" t="s">
        <v>51</v>
      </c>
      <c r="H12" s="9"/>
      <c r="I12" s="9"/>
    </row>
    <row r="13" spans="1:9" x14ac:dyDescent="0.25">
      <c r="F13" s="9">
        <v>11</v>
      </c>
      <c r="G13" s="9" t="s">
        <v>48</v>
      </c>
      <c r="H13" s="9"/>
      <c r="I13" s="9"/>
    </row>
    <row r="14" spans="1:9" x14ac:dyDescent="0.25">
      <c r="F14" s="9">
        <v>12</v>
      </c>
      <c r="G14" s="9" t="s">
        <v>49</v>
      </c>
      <c r="H14" s="9"/>
      <c r="I14" s="9"/>
    </row>
    <row r="15" spans="1:9" x14ac:dyDescent="0.25">
      <c r="F15" s="9">
        <v>13</v>
      </c>
      <c r="G15" s="9" t="s">
        <v>50</v>
      </c>
      <c r="H15" s="9"/>
      <c r="I15" s="9"/>
    </row>
    <row r="16" spans="1:9" x14ac:dyDescent="0.25">
      <c r="F16" s="9">
        <v>14</v>
      </c>
      <c r="G16" s="9" t="s">
        <v>41</v>
      </c>
      <c r="H16" s="9"/>
      <c r="I16" s="9"/>
    </row>
    <row r="17" spans="6:9" x14ac:dyDescent="0.25">
      <c r="F17" s="9">
        <v>15</v>
      </c>
      <c r="G17" s="9"/>
      <c r="H17" s="9"/>
      <c r="I17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>
    <tabColor theme="8"/>
  </sheetPr>
  <dimension ref="A1:O100"/>
  <sheetViews>
    <sheetView showGridLines="0" topLeftCell="F1" zoomScaleNormal="100" workbookViewId="0">
      <selection activeCell="M22" sqref="M22"/>
    </sheetView>
  </sheetViews>
  <sheetFormatPr baseColWidth="10" defaultRowHeight="15" x14ac:dyDescent="0.25"/>
  <cols>
    <col min="1" max="2" width="8.28515625" customWidth="1"/>
    <col min="3" max="3" width="2.7109375" customWidth="1"/>
    <col min="4" max="5" width="8.28515625" customWidth="1"/>
    <col min="6" max="6" width="3" customWidth="1"/>
    <col min="7" max="8" width="8.28515625" customWidth="1"/>
    <col min="9" max="9" width="3.7109375" customWidth="1"/>
    <col min="12" max="12" width="14.7109375" customWidth="1"/>
    <col min="14" max="14" width="13.7109375" bestFit="1" customWidth="1"/>
  </cols>
  <sheetData>
    <row r="1" spans="1:15" ht="15.75" thickBot="1" x14ac:dyDescent="0.3">
      <c r="A1" s="83" t="s">
        <v>6</v>
      </c>
      <c r="B1" s="83"/>
      <c r="D1" s="83" t="s">
        <v>64</v>
      </c>
      <c r="E1" s="83"/>
      <c r="L1" s="103"/>
    </row>
    <row r="2" spans="1:15" x14ac:dyDescent="0.25">
      <c r="A2" s="9" t="s">
        <v>62</v>
      </c>
      <c r="B2" s="9" t="s">
        <v>63</v>
      </c>
      <c r="D2" s="9" t="s">
        <v>62</v>
      </c>
      <c r="E2" s="9" t="s">
        <v>63</v>
      </c>
      <c r="G2" s="9" t="s">
        <v>73</v>
      </c>
      <c r="H2" s="9" t="s">
        <v>74</v>
      </c>
      <c r="J2" s="9" t="s">
        <v>75</v>
      </c>
      <c r="K2" s="9" t="s">
        <v>65</v>
      </c>
      <c r="L2" s="103"/>
      <c r="M2" s="104" t="s">
        <v>68</v>
      </c>
      <c r="N2" s="105" t="s">
        <v>66</v>
      </c>
      <c r="O2" s="106" t="s">
        <v>67</v>
      </c>
    </row>
    <row r="3" spans="1:15" x14ac:dyDescent="0.25">
      <c r="A3">
        <f>Gantt!G14</f>
        <v>45569</v>
      </c>
      <c r="B3">
        <f>Gantt!H14</f>
        <v>45576</v>
      </c>
      <c r="D3">
        <f>Gantt!L14</f>
        <v>45569</v>
      </c>
      <c r="E3">
        <f>Gantt!M14</f>
        <v>0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L3" s="103"/>
      <c r="M3" s="107">
        <f>(SUM(H3:H100)+SUM(G3:G100))/2</f>
        <v>0</v>
      </c>
      <c r="N3" s="9">
        <v>0</v>
      </c>
      <c r="O3" s="108">
        <f>Gantt!K58</f>
        <v>32</v>
      </c>
    </row>
    <row r="4" spans="1:15" x14ac:dyDescent="0.25">
      <c r="A4">
        <f>Gantt!G15</f>
        <v>45569</v>
      </c>
      <c r="B4">
        <f>Gantt!H15</f>
        <v>45573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L4" s="103"/>
      <c r="M4" s="109"/>
      <c r="N4" s="103"/>
      <c r="O4" s="110"/>
    </row>
    <row r="5" spans="1:15" x14ac:dyDescent="0.25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L5" s="103"/>
      <c r="M5" s="109" t="s">
        <v>69</v>
      </c>
      <c r="N5" s="103">
        <v>1</v>
      </c>
      <c r="O5" s="110"/>
    </row>
    <row r="6" spans="1:15" x14ac:dyDescent="0.25">
      <c r="A6">
        <f>Gantt!G17</f>
        <v>45583</v>
      </c>
      <c r="B6">
        <f>Gantt!H17</f>
        <v>45590</v>
      </c>
      <c r="D6">
        <f>Gantt!L17</f>
        <v>0</v>
      </c>
      <c r="E6">
        <f>Gantt!M17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109" t="s">
        <v>70</v>
      </c>
      <c r="N6" s="103">
        <v>1</v>
      </c>
      <c r="O6" s="110"/>
    </row>
    <row r="7" spans="1:15" x14ac:dyDescent="0.25">
      <c r="A7">
        <f>Gantt!G18</f>
        <v>45597</v>
      </c>
      <c r="B7">
        <f>Gantt!H18</f>
        <v>45604</v>
      </c>
      <c r="D7">
        <f>Gantt!L18</f>
        <v>0</v>
      </c>
      <c r="E7">
        <f>Gantt!M18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109" t="s">
        <v>71</v>
      </c>
      <c r="N7" s="103">
        <v>1</v>
      </c>
      <c r="O7" s="110"/>
    </row>
    <row r="8" spans="1:15" x14ac:dyDescent="0.25">
      <c r="A8">
        <f>Gantt!G19</f>
        <v>0</v>
      </c>
      <c r="B8">
        <f>Gantt!H19</f>
        <v>0</v>
      </c>
      <c r="D8">
        <f>Gantt!L19</f>
        <v>0</v>
      </c>
      <c r="E8">
        <f>Gantt!M19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109" t="s">
        <v>72</v>
      </c>
      <c r="N8" s="103">
        <v>3</v>
      </c>
      <c r="O8" s="110"/>
    </row>
    <row r="9" spans="1:15" x14ac:dyDescent="0.25">
      <c r="A9">
        <f>Gantt!G20</f>
        <v>0</v>
      </c>
      <c r="B9">
        <f>Gantt!H20</f>
        <v>0</v>
      </c>
      <c r="D9">
        <f>Gantt!L20</f>
        <v>0</v>
      </c>
      <c r="E9">
        <f>Gantt!M20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109"/>
      <c r="N9" s="111">
        <f>100-(M3/O3)*100</f>
        <v>100</v>
      </c>
      <c r="O9" s="110"/>
    </row>
    <row r="10" spans="1:15" x14ac:dyDescent="0.25">
      <c r="A10">
        <f>Gantt!G21</f>
        <v>0</v>
      </c>
      <c r="B10">
        <f>Gantt!H21</f>
        <v>0</v>
      </c>
      <c r="D10">
        <f>Gantt!L21</f>
        <v>0</v>
      </c>
      <c r="E10">
        <f>Gantt!M21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109"/>
      <c r="N10" s="103">
        <v>2</v>
      </c>
      <c r="O10" s="110"/>
    </row>
    <row r="11" spans="1:15" ht="15.75" thickBot="1" x14ac:dyDescent="0.3">
      <c r="A11">
        <f>Gantt!G22</f>
        <v>0</v>
      </c>
      <c r="B11">
        <f>Gantt!H22</f>
        <v>0</v>
      </c>
      <c r="D11">
        <f>Gantt!L22</f>
        <v>0</v>
      </c>
      <c r="E11">
        <f>Gantt!M22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112"/>
      <c r="N11" s="113">
        <v>100</v>
      </c>
      <c r="O11" s="114"/>
    </row>
    <row r="12" spans="1:15" x14ac:dyDescent="0.25">
      <c r="A12">
        <f>Gantt!G23</f>
        <v>0</v>
      </c>
      <c r="B12">
        <f>Gantt!H23</f>
        <v>0</v>
      </c>
      <c r="D12">
        <f>Gantt!L23</f>
        <v>0</v>
      </c>
      <c r="E12">
        <f>Gantt!M23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.75" thickBot="1" x14ac:dyDescent="0.3">
      <c r="A13">
        <f>Gantt!G24</f>
        <v>0</v>
      </c>
      <c r="B13">
        <f>Gantt!H24</f>
        <v>0</v>
      </c>
      <c r="D13">
        <f>Gantt!L24</f>
        <v>0</v>
      </c>
      <c r="E13">
        <f>Gantt!M24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25">
      <c r="A14">
        <f>Gantt!G25</f>
        <v>0</v>
      </c>
      <c r="B14">
        <f>Gantt!H25</f>
        <v>0</v>
      </c>
      <c r="D14">
        <f>Gantt!L25</f>
        <v>0</v>
      </c>
      <c r="E14">
        <f>Gantt!M25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104" t="s">
        <v>68</v>
      </c>
      <c r="N14" s="105" t="s">
        <v>66</v>
      </c>
      <c r="O14" s="106" t="s">
        <v>67</v>
      </c>
    </row>
    <row r="15" spans="1:15" x14ac:dyDescent="0.25">
      <c r="A15">
        <f>Gantt!G26</f>
        <v>0</v>
      </c>
      <c r="B15">
        <f>Gantt!H26</f>
        <v>0</v>
      </c>
      <c r="D15">
        <f>Gantt!L26</f>
        <v>0</v>
      </c>
      <c r="E15">
        <f>Gantt!M26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107">
        <f>(SUM(J3:J100)+SUM(K3:K100))</f>
        <v>0</v>
      </c>
      <c r="N15" s="9">
        <v>0</v>
      </c>
      <c r="O15" s="115">
        <f ca="1">TODAY()-Gantt!G8</f>
        <v>3</v>
      </c>
    </row>
    <row r="16" spans="1:15" x14ac:dyDescent="0.25">
      <c r="A16">
        <f>Gantt!G27</f>
        <v>0</v>
      </c>
      <c r="B16">
        <f>Gantt!H27</f>
        <v>0</v>
      </c>
      <c r="D16">
        <f>Gantt!L27</f>
        <v>0</v>
      </c>
      <c r="E16">
        <f>Gantt!M27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109" t="s">
        <v>72</v>
      </c>
      <c r="N16" s="103">
        <v>3</v>
      </c>
      <c r="O16" s="110"/>
    </row>
    <row r="17" spans="1:15" x14ac:dyDescent="0.25">
      <c r="A17">
        <f>Gantt!G28</f>
        <v>0</v>
      </c>
      <c r="B17">
        <f>Gantt!H28</f>
        <v>0</v>
      </c>
      <c r="D17">
        <f>Gantt!L28</f>
        <v>0</v>
      </c>
      <c r="E17">
        <f>Gantt!M28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109"/>
      <c r="N17" s="111">
        <f ca="1" xml:space="preserve"> 50 - (M15/O15)*50</f>
        <v>50</v>
      </c>
      <c r="O17" s="110"/>
    </row>
    <row r="18" spans="1:15" x14ac:dyDescent="0.25">
      <c r="A18">
        <f>Gantt!G29</f>
        <v>0</v>
      </c>
      <c r="B18">
        <f>Gantt!H29</f>
        <v>0</v>
      </c>
      <c r="D18">
        <f>Gantt!L29</f>
        <v>0</v>
      </c>
      <c r="E18">
        <f>Gantt!M29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109"/>
      <c r="N18" s="103">
        <v>2</v>
      </c>
      <c r="O18" s="110"/>
    </row>
    <row r="19" spans="1:15" ht="15.75" thickBot="1" x14ac:dyDescent="0.3">
      <c r="A19">
        <f>Gantt!G30</f>
        <v>0</v>
      </c>
      <c r="B19">
        <f>Gantt!H30</f>
        <v>0</v>
      </c>
      <c r="D19">
        <f>Gantt!L30</f>
        <v>0</v>
      </c>
      <c r="E19">
        <f>Gantt!M30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112"/>
      <c r="N19" s="113">
        <v>150</v>
      </c>
      <c r="O19" s="114"/>
    </row>
    <row r="20" spans="1:15" x14ac:dyDescent="0.25">
      <c r="A20">
        <f>Gantt!G31</f>
        <v>0</v>
      </c>
      <c r="B20">
        <f>Gantt!H31</f>
        <v>0</v>
      </c>
      <c r="D20">
        <f>Gantt!L31</f>
        <v>0</v>
      </c>
      <c r="E20">
        <f>Gantt!M31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25">
      <c r="A21">
        <f>Gantt!G32</f>
        <v>0</v>
      </c>
      <c r="B21">
        <f>Gantt!H32</f>
        <v>0</v>
      </c>
      <c r="D21">
        <f>Gantt!L32</f>
        <v>0</v>
      </c>
      <c r="E21">
        <f>Gantt!M32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25">
      <c r="A22">
        <f>Gantt!G33</f>
        <v>0</v>
      </c>
      <c r="B22">
        <f>Gantt!H33</f>
        <v>0</v>
      </c>
      <c r="D22">
        <f>Gantt!L33</f>
        <v>0</v>
      </c>
      <c r="E22">
        <f>Gantt!M33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25">
      <c r="A23">
        <f>Gantt!G34</f>
        <v>0</v>
      </c>
      <c r="B23">
        <f>Gantt!H34</f>
        <v>0</v>
      </c>
      <c r="D23">
        <f>Gantt!L34</f>
        <v>0</v>
      </c>
      <c r="E23">
        <f>Gantt!M34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25">
      <c r="A24">
        <f>Gantt!G35</f>
        <v>0</v>
      </c>
      <c r="B24">
        <f>Gantt!H35</f>
        <v>0</v>
      </c>
      <c r="D24">
        <f>Gantt!L35</f>
        <v>0</v>
      </c>
      <c r="E24">
        <f>Gantt!M35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25">
      <c r="A25">
        <f>Gantt!G36</f>
        <v>0</v>
      </c>
      <c r="B25">
        <f>Gantt!H36</f>
        <v>0</v>
      </c>
      <c r="D25">
        <f>Gantt!L36</f>
        <v>0</v>
      </c>
      <c r="E25">
        <f>Gantt!M36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25">
      <c r="A26">
        <f>Gantt!G37</f>
        <v>0</v>
      </c>
      <c r="B26">
        <f>Gantt!H37</f>
        <v>0</v>
      </c>
      <c r="D26">
        <f>Gantt!L37</f>
        <v>0</v>
      </c>
      <c r="E26">
        <f>Gantt!M37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25">
      <c r="A27">
        <f>Gantt!G38</f>
        <v>0</v>
      </c>
      <c r="B27">
        <f>Gantt!H38</f>
        <v>0</v>
      </c>
      <c r="D27">
        <f>Gantt!L38</f>
        <v>0</v>
      </c>
      <c r="E27">
        <f>Gantt!M38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25">
      <c r="A28">
        <f>Gantt!G39</f>
        <v>0</v>
      </c>
      <c r="B28">
        <f>Gantt!H39</f>
        <v>0</v>
      </c>
      <c r="D28">
        <f>Gantt!L39</f>
        <v>0</v>
      </c>
      <c r="E28">
        <f>Gantt!M39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25">
      <c r="A29">
        <f>Gantt!G40</f>
        <v>0</v>
      </c>
      <c r="B29">
        <f>Gantt!H40</f>
        <v>0</v>
      </c>
      <c r="D29">
        <f>Gantt!L40</f>
        <v>0</v>
      </c>
      <c r="E29">
        <f>Gantt!M40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25">
      <c r="A30">
        <f>Gantt!G41</f>
        <v>0</v>
      </c>
      <c r="B30">
        <f>Gantt!H41</f>
        <v>0</v>
      </c>
      <c r="D30">
        <f>Gantt!L41</f>
        <v>0</v>
      </c>
      <c r="E30">
        <f>Gantt!M41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25">
      <c r="A31">
        <f>Gantt!G42</f>
        <v>0</v>
      </c>
      <c r="B31">
        <f>Gantt!H42</f>
        <v>0</v>
      </c>
      <c r="D31">
        <f>Gantt!L42</f>
        <v>0</v>
      </c>
      <c r="E31">
        <f>Gantt!M42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25">
      <c r="A32">
        <f>Gantt!G43</f>
        <v>0</v>
      </c>
      <c r="B32">
        <f>Gantt!H43</f>
        <v>0</v>
      </c>
      <c r="D32">
        <f>Gantt!L43</f>
        <v>0</v>
      </c>
      <c r="E32">
        <f>Gantt!M43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25">
      <c r="A33">
        <f>Gantt!G44</f>
        <v>0</v>
      </c>
      <c r="B33">
        <f>Gantt!H44</f>
        <v>0</v>
      </c>
      <c r="D33">
        <f>Gantt!L44</f>
        <v>0</v>
      </c>
      <c r="E33">
        <f>Gantt!M44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25">
      <c r="A34">
        <f>Gantt!G45</f>
        <v>0</v>
      </c>
      <c r="B34">
        <f>Gantt!H45</f>
        <v>0</v>
      </c>
      <c r="D34">
        <f>Gantt!L45</f>
        <v>0</v>
      </c>
      <c r="E34">
        <f>Gantt!M45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25">
      <c r="A35">
        <f>Gantt!G46</f>
        <v>0</v>
      </c>
      <c r="B35">
        <f>Gantt!H46</f>
        <v>0</v>
      </c>
      <c r="D35">
        <f>Gantt!L46</f>
        <v>0</v>
      </c>
      <c r="E35">
        <f>Gantt!M46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25">
      <c r="A36">
        <f>Gantt!G47</f>
        <v>0</v>
      </c>
      <c r="B36">
        <f>Gantt!H47</f>
        <v>0</v>
      </c>
      <c r="D36">
        <f>Gantt!L47</f>
        <v>0</v>
      </c>
      <c r="E36">
        <f>Gantt!M47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25">
      <c r="A37">
        <f>Gantt!G48</f>
        <v>0</v>
      </c>
      <c r="B37">
        <f>Gantt!H48</f>
        <v>0</v>
      </c>
      <c r="D37">
        <f>Gantt!L48</f>
        <v>0</v>
      </c>
      <c r="E37">
        <f>Gantt!M48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25">
      <c r="A38">
        <f>Gantt!G49</f>
        <v>0</v>
      </c>
      <c r="B38">
        <f>Gantt!H49</f>
        <v>0</v>
      </c>
      <c r="D38">
        <f>Gantt!L49</f>
        <v>0</v>
      </c>
      <c r="E38">
        <f>Gantt!M49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25">
      <c r="A39">
        <f>Gantt!G50</f>
        <v>0</v>
      </c>
      <c r="B39">
        <f>Gantt!H50</f>
        <v>0</v>
      </c>
      <c r="D39">
        <f>Gantt!L50</f>
        <v>0</v>
      </c>
      <c r="E39">
        <f>Gantt!M50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25">
      <c r="A40">
        <f>Gantt!G51</f>
        <v>0</v>
      </c>
      <c r="B40">
        <f>Gantt!H51</f>
        <v>0</v>
      </c>
      <c r="D40">
        <f>Gantt!L51</f>
        <v>0</v>
      </c>
      <c r="E40">
        <f>Gantt!M51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25">
      <c r="A41">
        <f>Gantt!G52</f>
        <v>0</v>
      </c>
      <c r="B41">
        <f>Gantt!H52</f>
        <v>0</v>
      </c>
      <c r="D41">
        <f>Gantt!L52</f>
        <v>0</v>
      </c>
      <c r="E41">
        <f>Gantt!M52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25">
      <c r="A42">
        <f>Gantt!G53</f>
        <v>0</v>
      </c>
      <c r="B42">
        <f>Gantt!H53</f>
        <v>0</v>
      </c>
      <c r="D42">
        <f>Gantt!L53</f>
        <v>0</v>
      </c>
      <c r="E42">
        <f>Gantt!M53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25">
      <c r="A43">
        <f>Gantt!G54</f>
        <v>0</v>
      </c>
      <c r="B43">
        <f>Gantt!H54</f>
        <v>0</v>
      </c>
      <c r="D43">
        <f>Gantt!L54</f>
        <v>0</v>
      </c>
      <c r="E43">
        <f>Gantt!M54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25">
      <c r="A44">
        <f>Gantt!G55</f>
        <v>0</v>
      </c>
      <c r="B44">
        <f>Gantt!H55</f>
        <v>0</v>
      </c>
      <c r="D44">
        <f>Gantt!L55</f>
        <v>0</v>
      </c>
      <c r="E44">
        <f>Gantt!M55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25">
      <c r="A45">
        <f>Gantt!G56</f>
        <v>0</v>
      </c>
      <c r="B45">
        <f>Gantt!H56</f>
        <v>0</v>
      </c>
      <c r="D45">
        <f>Gantt!L56</f>
        <v>0</v>
      </c>
      <c r="E45">
        <f>Gantt!M56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25">
      <c r="A46">
        <f>Gantt!G57</f>
        <v>0</v>
      </c>
      <c r="B46">
        <f>Gantt!H57</f>
        <v>0</v>
      </c>
      <c r="D46">
        <f>Gantt!L57</f>
        <v>0</v>
      </c>
      <c r="E46">
        <f>Gantt!M57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25">
      <c r="A47">
        <f>Gantt!G58</f>
        <v>0</v>
      </c>
      <c r="B47">
        <f>Gantt!H58</f>
        <v>0</v>
      </c>
      <c r="D47">
        <f>Gantt!L58</f>
        <v>0</v>
      </c>
      <c r="E47">
        <f>Gantt!M58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25">
      <c r="A48">
        <f>Gantt!G59</f>
        <v>0</v>
      </c>
      <c r="B48">
        <f>Gantt!H59</f>
        <v>0</v>
      </c>
      <c r="D48">
        <f>Gantt!L59</f>
        <v>0</v>
      </c>
      <c r="E48">
        <f>Gantt!M59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25">
      <c r="A49">
        <f>Gantt!G60</f>
        <v>0</v>
      </c>
      <c r="B49">
        <f>Gantt!H60</f>
        <v>0</v>
      </c>
      <c r="D49">
        <f>Gantt!L60</f>
        <v>0</v>
      </c>
      <c r="E49">
        <f>Gantt!M60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25">
      <c r="A50">
        <f>Gantt!G61</f>
        <v>0</v>
      </c>
      <c r="B50">
        <f>Gantt!H61</f>
        <v>0</v>
      </c>
      <c r="D50">
        <f>Gantt!L61</f>
        <v>0</v>
      </c>
      <c r="E50">
        <f>Gantt!M61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25">
      <c r="A51">
        <f>Gantt!G62</f>
        <v>0</v>
      </c>
      <c r="B51">
        <f>Gantt!H62</f>
        <v>0</v>
      </c>
      <c r="D51">
        <f>Gantt!L62</f>
        <v>0</v>
      </c>
      <c r="E51">
        <f>Gantt!M62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25">
      <c r="A52">
        <f>Gantt!G63</f>
        <v>0</v>
      </c>
      <c r="B52">
        <f>Gantt!H63</f>
        <v>0</v>
      </c>
      <c r="D52">
        <f>Gantt!L63</f>
        <v>0</v>
      </c>
      <c r="E52">
        <f>Gantt!M63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25">
      <c r="A53">
        <f>Gantt!G64</f>
        <v>0</v>
      </c>
      <c r="B53">
        <f>Gantt!H64</f>
        <v>0</v>
      </c>
      <c r="D53">
        <f>Gantt!L64</f>
        <v>0</v>
      </c>
      <c r="E53">
        <f>Gantt!M64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25">
      <c r="A54">
        <f>Gantt!G65</f>
        <v>0</v>
      </c>
      <c r="B54">
        <f>Gantt!H65</f>
        <v>0</v>
      </c>
      <c r="D54">
        <f>Gantt!L65</f>
        <v>0</v>
      </c>
      <c r="E54">
        <f>Gantt!M65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25">
      <c r="A55">
        <f>Gantt!G66</f>
        <v>0</v>
      </c>
      <c r="B55">
        <f>Gantt!H66</f>
        <v>0</v>
      </c>
      <c r="D55">
        <f>Gantt!L66</f>
        <v>0</v>
      </c>
      <c r="E55">
        <f>Gantt!M66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25">
      <c r="A56">
        <f>Gantt!G67</f>
        <v>0</v>
      </c>
      <c r="B56">
        <f>Gantt!H67</f>
        <v>0</v>
      </c>
      <c r="D56">
        <f>Gantt!L67</f>
        <v>0</v>
      </c>
      <c r="E56">
        <f>Gantt!M67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25">
      <c r="A57">
        <f>Gantt!G68</f>
        <v>0</v>
      </c>
      <c r="B57">
        <f>Gantt!H68</f>
        <v>0</v>
      </c>
      <c r="D57">
        <f>Gantt!L68</f>
        <v>0</v>
      </c>
      <c r="E57">
        <f>Gantt!M68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25">
      <c r="A58">
        <f>Gantt!G69</f>
        <v>0</v>
      </c>
      <c r="B58">
        <f>Gantt!H69</f>
        <v>0</v>
      </c>
      <c r="D58">
        <f>Gantt!L69</f>
        <v>0</v>
      </c>
      <c r="E58">
        <f>Gantt!M69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25">
      <c r="A59">
        <f>Gantt!G70</f>
        <v>0</v>
      </c>
      <c r="B59">
        <f>Gantt!H70</f>
        <v>0</v>
      </c>
      <c r="D59">
        <f>Gantt!L70</f>
        <v>0</v>
      </c>
      <c r="E59">
        <f>Gantt!M70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25">
      <c r="A60">
        <f>Gantt!G71</f>
        <v>0</v>
      </c>
      <c r="B60">
        <f>Gantt!H71</f>
        <v>0</v>
      </c>
      <c r="D60">
        <f>Gantt!L71</f>
        <v>0</v>
      </c>
      <c r="E60">
        <f>Gantt!M71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25">
      <c r="A61">
        <f>Gantt!G72</f>
        <v>0</v>
      </c>
      <c r="B61">
        <f>Gantt!H72</f>
        <v>0</v>
      </c>
      <c r="D61">
        <f>Gantt!L72</f>
        <v>0</v>
      </c>
      <c r="E61">
        <f>Gantt!M72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25">
      <c r="A62">
        <f>Gantt!G73</f>
        <v>0</v>
      </c>
      <c r="B62">
        <f>Gantt!H73</f>
        <v>0</v>
      </c>
      <c r="D62">
        <f>Gantt!L73</f>
        <v>0</v>
      </c>
      <c r="E62">
        <f>Gantt!M73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25">
      <c r="A63">
        <f>Gantt!G74</f>
        <v>0</v>
      </c>
      <c r="B63">
        <f>Gantt!H74</f>
        <v>0</v>
      </c>
      <c r="D63">
        <f>Gantt!L74</f>
        <v>0</v>
      </c>
      <c r="E63">
        <f>Gantt!M74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25">
      <c r="A64">
        <f>Gantt!G75</f>
        <v>0</v>
      </c>
      <c r="B64">
        <f>Gantt!H75</f>
        <v>0</v>
      </c>
      <c r="D64">
        <f>Gantt!L75</f>
        <v>0</v>
      </c>
      <c r="E64">
        <f>Gantt!M75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25">
      <c r="A65">
        <f>Gantt!G76</f>
        <v>0</v>
      </c>
      <c r="B65">
        <f>Gantt!H76</f>
        <v>0</v>
      </c>
      <c r="D65">
        <f>Gantt!L76</f>
        <v>0</v>
      </c>
      <c r="E65">
        <f>Gantt!M76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25">
      <c r="A66">
        <f>Gantt!G77</f>
        <v>0</v>
      </c>
      <c r="B66">
        <f>Gantt!H77</f>
        <v>0</v>
      </c>
      <c r="D66">
        <f>Gantt!L77</f>
        <v>0</v>
      </c>
      <c r="E66">
        <f>Gantt!M77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25">
      <c r="A67">
        <f>Gantt!G78</f>
        <v>0</v>
      </c>
      <c r="B67">
        <f>Gantt!H78</f>
        <v>0</v>
      </c>
      <c r="D67">
        <f>Gantt!L78</f>
        <v>0</v>
      </c>
      <c r="E67">
        <f>Gantt!M78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25">
      <c r="A68">
        <f>Gantt!G79</f>
        <v>0</v>
      </c>
      <c r="B68">
        <f>Gantt!H79</f>
        <v>0</v>
      </c>
      <c r="D68">
        <f>Gantt!L79</f>
        <v>0</v>
      </c>
      <c r="E68">
        <f>Gantt!M79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25">
      <c r="A69">
        <f>Gantt!G80</f>
        <v>0</v>
      </c>
      <c r="B69">
        <f>Gantt!H80</f>
        <v>0</v>
      </c>
      <c r="D69">
        <f>Gantt!L80</f>
        <v>0</v>
      </c>
      <c r="E69">
        <f>Gantt!M80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25">
      <c r="A70">
        <f>Gantt!G81</f>
        <v>0</v>
      </c>
      <c r="B70">
        <f>Gantt!H81</f>
        <v>0</v>
      </c>
      <c r="D70">
        <f>Gantt!L81</f>
        <v>0</v>
      </c>
      <c r="E70">
        <f>Gantt!M81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25">
      <c r="A71">
        <f>Gantt!G82</f>
        <v>0</v>
      </c>
      <c r="B71">
        <f>Gantt!H82</f>
        <v>0</v>
      </c>
      <c r="D71">
        <f>Gantt!L82</f>
        <v>0</v>
      </c>
      <c r="E71">
        <f>Gantt!M82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25">
      <c r="A72">
        <f>Gantt!G83</f>
        <v>0</v>
      </c>
      <c r="B72">
        <f>Gantt!H83</f>
        <v>0</v>
      </c>
      <c r="D72">
        <f>Gantt!L83</f>
        <v>0</v>
      </c>
      <c r="E72">
        <f>Gantt!M83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25">
      <c r="A73">
        <f>Gantt!G84</f>
        <v>0</v>
      </c>
      <c r="B73">
        <f>Gantt!H84</f>
        <v>0</v>
      </c>
      <c r="D73">
        <f>Gantt!L84</f>
        <v>0</v>
      </c>
      <c r="E73">
        <f>Gantt!M84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25">
      <c r="A74">
        <f>Gantt!G85</f>
        <v>0</v>
      </c>
      <c r="B74">
        <f>Gantt!H85</f>
        <v>0</v>
      </c>
      <c r="D74">
        <f>Gantt!L85</f>
        <v>0</v>
      </c>
      <c r="E74">
        <f>Gantt!M85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25">
      <c r="A75">
        <f>Gantt!G86</f>
        <v>0</v>
      </c>
      <c r="B75">
        <f>Gantt!H86</f>
        <v>0</v>
      </c>
      <c r="D75">
        <f>Gantt!L86</f>
        <v>0</v>
      </c>
      <c r="E75">
        <f>Gantt!M86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25">
      <c r="A76">
        <f>Gantt!G87</f>
        <v>0</v>
      </c>
      <c r="B76">
        <f>Gantt!H87</f>
        <v>0</v>
      </c>
      <c r="D76">
        <f>Gantt!L87</f>
        <v>0</v>
      </c>
      <c r="E76">
        <f>Gantt!M87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25">
      <c r="A77">
        <f>Gantt!G88</f>
        <v>0</v>
      </c>
      <c r="B77">
        <f>Gantt!H88</f>
        <v>0</v>
      </c>
      <c r="D77">
        <f>Gantt!L88</f>
        <v>0</v>
      </c>
      <c r="E77">
        <f>Gantt!M88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25">
      <c r="A78">
        <f>Gantt!G89</f>
        <v>0</v>
      </c>
      <c r="B78">
        <f>Gantt!H89</f>
        <v>0</v>
      </c>
      <c r="D78">
        <f>Gantt!L89</f>
        <v>0</v>
      </c>
      <c r="E78">
        <f>Gantt!M89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25">
      <c r="A79">
        <f>Gantt!G90</f>
        <v>0</v>
      </c>
      <c r="B79">
        <f>Gantt!H90</f>
        <v>0</v>
      </c>
      <c r="D79">
        <f>Gantt!L90</f>
        <v>0</v>
      </c>
      <c r="E79">
        <f>Gantt!M90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25">
      <c r="A80">
        <f>Gantt!G91</f>
        <v>0</v>
      </c>
      <c r="B80">
        <f>Gantt!H91</f>
        <v>0</v>
      </c>
      <c r="D80">
        <f>Gantt!L91</f>
        <v>0</v>
      </c>
      <c r="E80">
        <f>Gantt!M91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25">
      <c r="A81">
        <f>Gantt!G92</f>
        <v>0</v>
      </c>
      <c r="B81">
        <f>Gantt!H92</f>
        <v>0</v>
      </c>
      <c r="D81">
        <f>Gantt!L92</f>
        <v>0</v>
      </c>
      <c r="E81">
        <f>Gantt!M92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25">
      <c r="A82">
        <f>Gantt!G93</f>
        <v>0</v>
      </c>
      <c r="B82">
        <f>Gantt!H93</f>
        <v>0</v>
      </c>
      <c r="D82">
        <f>Gantt!L93</f>
        <v>0</v>
      </c>
      <c r="E82">
        <f>Gantt!M93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25">
      <c r="A83">
        <f>Gantt!G94</f>
        <v>0</v>
      </c>
      <c r="B83">
        <f>Gantt!H94</f>
        <v>0</v>
      </c>
      <c r="D83">
        <f>Gantt!L94</f>
        <v>0</v>
      </c>
      <c r="E83">
        <f>Gantt!M94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25">
      <c r="A84">
        <f>Gantt!G95</f>
        <v>0</v>
      </c>
      <c r="B84">
        <f>Gantt!H95</f>
        <v>0</v>
      </c>
      <c r="D84">
        <f>Gantt!L95</f>
        <v>0</v>
      </c>
      <c r="E84">
        <f>Gantt!M95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25">
      <c r="A85">
        <f>Gantt!G96</f>
        <v>0</v>
      </c>
      <c r="B85">
        <f>Gantt!H96</f>
        <v>0</v>
      </c>
      <c r="D85">
        <f>Gantt!L96</f>
        <v>0</v>
      </c>
      <c r="E85">
        <f>Gantt!M96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25">
      <c r="A86">
        <f>Gantt!G97</f>
        <v>0</v>
      </c>
      <c r="B86">
        <f>Gantt!H97</f>
        <v>0</v>
      </c>
      <c r="D86">
        <f>Gantt!L97</f>
        <v>0</v>
      </c>
      <c r="E86">
        <f>Gantt!M97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25">
      <c r="A87">
        <f>Gantt!G98</f>
        <v>0</v>
      </c>
      <c r="B87">
        <f>Gantt!H98</f>
        <v>0</v>
      </c>
      <c r="D87">
        <f>Gantt!L98</f>
        <v>0</v>
      </c>
      <c r="E87">
        <f>Gantt!M98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25">
      <c r="A88">
        <f>Gantt!G99</f>
        <v>0</v>
      </c>
      <c r="B88">
        <f>Gantt!H99</f>
        <v>0</v>
      </c>
      <c r="D88">
        <f>Gantt!L99</f>
        <v>0</v>
      </c>
      <c r="E88">
        <f>Gantt!M99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25">
      <c r="A89">
        <f>Gantt!G100</f>
        <v>0</v>
      </c>
      <c r="B89">
        <f>Gantt!H100</f>
        <v>0</v>
      </c>
      <c r="D89">
        <f>Gantt!L100</f>
        <v>0</v>
      </c>
      <c r="E89">
        <f>Gantt!M100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25">
      <c r="A90">
        <f>Gantt!G101</f>
        <v>0</v>
      </c>
      <c r="B90">
        <f>Gantt!H101</f>
        <v>0</v>
      </c>
      <c r="D90">
        <f>Gantt!L101</f>
        <v>0</v>
      </c>
      <c r="E90">
        <f>Gantt!M101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25">
      <c r="A91">
        <f>Gantt!G102</f>
        <v>0</v>
      </c>
      <c r="B91">
        <f>Gantt!H102</f>
        <v>0</v>
      </c>
      <c r="D91">
        <f>Gantt!L102</f>
        <v>0</v>
      </c>
      <c r="E91">
        <f>Gantt!M102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25">
      <c r="A92">
        <f>Gantt!G103</f>
        <v>0</v>
      </c>
      <c r="B92">
        <f>Gantt!H103</f>
        <v>0</v>
      </c>
      <c r="D92">
        <f>Gantt!L103</f>
        <v>0</v>
      </c>
      <c r="E92">
        <f>Gantt!M103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25">
      <c r="A93">
        <f>Gantt!G104</f>
        <v>0</v>
      </c>
      <c r="B93">
        <f>Gantt!H104</f>
        <v>0</v>
      </c>
      <c r="D93">
        <f>Gantt!L104</f>
        <v>0</v>
      </c>
      <c r="E93">
        <f>Gantt!M104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25">
      <c r="A94">
        <f>Gantt!G105</f>
        <v>0</v>
      </c>
      <c r="B94">
        <f>Gantt!H105</f>
        <v>0</v>
      </c>
      <c r="D94">
        <f>Gantt!L105</f>
        <v>0</v>
      </c>
      <c r="E94">
        <f>Gantt!M105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25">
      <c r="A95">
        <f>Gantt!G106</f>
        <v>0</v>
      </c>
      <c r="B95">
        <f>Gantt!H106</f>
        <v>0</v>
      </c>
      <c r="D95">
        <f>Gantt!L106</f>
        <v>0</v>
      </c>
      <c r="E95">
        <f>Gantt!M106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25">
      <c r="A96">
        <f>Gantt!G107</f>
        <v>0</v>
      </c>
      <c r="B96">
        <f>Gantt!H107</f>
        <v>0</v>
      </c>
      <c r="D96">
        <f>Gantt!L107</f>
        <v>0</v>
      </c>
      <c r="E96">
        <f>Gantt!M107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25">
      <c r="A97">
        <f>Gantt!G108</f>
        <v>0</v>
      </c>
      <c r="B97">
        <f>Gantt!H108</f>
        <v>0</v>
      </c>
      <c r="D97">
        <f>Gantt!L108</f>
        <v>0</v>
      </c>
      <c r="E97">
        <f>Gantt!M108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25">
      <c r="A98">
        <f>Gantt!G109</f>
        <v>0</v>
      </c>
      <c r="B98">
        <f>Gantt!H109</f>
        <v>0</v>
      </c>
      <c r="D98">
        <f>Gantt!L109</f>
        <v>0</v>
      </c>
      <c r="E98">
        <f>Gantt!M109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25">
      <c r="A99">
        <f>Gantt!G110</f>
        <v>0</v>
      </c>
      <c r="B99">
        <f>Gantt!H110</f>
        <v>0</v>
      </c>
      <c r="D99">
        <f>Gantt!L110</f>
        <v>0</v>
      </c>
      <c r="E99">
        <f>Gantt!M110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25">
      <c r="A100">
        <f>Gantt!G111</f>
        <v>0</v>
      </c>
      <c r="B100">
        <f>Gantt!H111</f>
        <v>0</v>
      </c>
      <c r="D100">
        <f>Gantt!L111</f>
        <v>0</v>
      </c>
      <c r="E100">
        <f>Gantt!M111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antoine cojan</cp:lastModifiedBy>
  <cp:lastPrinted>2024-01-19T14:21:44Z</cp:lastPrinted>
  <dcterms:created xsi:type="dcterms:W3CDTF">2023-11-24T13:18:15Z</dcterms:created>
  <dcterms:modified xsi:type="dcterms:W3CDTF">2024-10-04T14:45:45Z</dcterms:modified>
</cp:coreProperties>
</file>