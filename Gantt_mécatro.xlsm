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cojan\OneDrive\Documents\Yann\COURS_ECOLE\ICAM\2024-2025\Mécatro\Gantt_Mecatro\"/>
    </mc:Choice>
  </mc:AlternateContent>
  <xr:revisionPtr revIDLastSave="0" documentId="13_ncr:1_{D5059ACE-03AC-4519-8FA1-17029F3B4EB9}" xr6:coauthVersionLast="47" xr6:coauthVersionMax="47" xr10:uidLastSave="{00000000-0000-0000-0000-000000000000}"/>
  <bookViews>
    <workbookView xWindow="-120" yWindow="-120" windowWidth="24240" windowHeight="13140" xr2:uid="{51C4A844-86E1-494C-AF45-73D3C647F81B}"/>
  </bookViews>
  <sheets>
    <sheet name="Gantt" sheetId="1" r:id="rId1"/>
    <sheet name="Parametre Gantt" sheetId="2" r:id="rId2"/>
    <sheet name="Donnée" sheetId="3" r:id="rId3"/>
  </sheets>
  <externalReferences>
    <externalReference r:id="rId4"/>
    <externalReference r:id="rId5"/>
  </externalReferences>
  <definedNames>
    <definedName name="DATA_">#REF!</definedName>
    <definedName name="DATA_TAB">#REF!</definedName>
    <definedName name="Entretien_nettoyage">[1]abud!#REF!</definedName>
    <definedName name="Graisse_siliconne">[1]abud!$A$1</definedName>
    <definedName name="Graisses_Siliconne">[1]abud!#REF!</definedName>
    <definedName name="ListeArticle">[2]BaseFamille!$B$2:$B$113</definedName>
    <definedName name="Prestation_Informatique">[1]abud!$A$687</definedName>
    <definedName name="_xlnm.Print_Area" localSheetId="0">Gantt!$E$38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5" i="3" l="1"/>
  <c r="E3" i="3"/>
  <c r="E4" i="3"/>
  <c r="H4" i="3" s="1"/>
  <c r="E5" i="3"/>
  <c r="H5" i="3" s="1"/>
  <c r="E6" i="3"/>
  <c r="H6" i="3" s="1"/>
  <c r="E7" i="3"/>
  <c r="H7" i="3" s="1"/>
  <c r="E8" i="3"/>
  <c r="H8" i="3" s="1"/>
  <c r="E9" i="3"/>
  <c r="H9" i="3" s="1"/>
  <c r="E10" i="3"/>
  <c r="H10" i="3" s="1"/>
  <c r="E11" i="3"/>
  <c r="H11" i="3" s="1"/>
  <c r="E12" i="3"/>
  <c r="H12" i="3" s="1"/>
  <c r="E13" i="3"/>
  <c r="H13" i="3" s="1"/>
  <c r="E14" i="3"/>
  <c r="H14" i="3" s="1"/>
  <c r="E15" i="3"/>
  <c r="H15" i="3" s="1"/>
  <c r="E16" i="3"/>
  <c r="H16" i="3" s="1"/>
  <c r="E17" i="3"/>
  <c r="H17" i="3" s="1"/>
  <c r="E18" i="3"/>
  <c r="H18" i="3" s="1"/>
  <c r="E19" i="3"/>
  <c r="H19" i="3" s="1"/>
  <c r="E20" i="3"/>
  <c r="H20" i="3" s="1"/>
  <c r="E21" i="3"/>
  <c r="H21" i="3" s="1"/>
  <c r="E22" i="3"/>
  <c r="H22" i="3" s="1"/>
  <c r="E23" i="3"/>
  <c r="H23" i="3" s="1"/>
  <c r="E24" i="3"/>
  <c r="H24" i="3" s="1"/>
  <c r="E25" i="3"/>
  <c r="H25" i="3" s="1"/>
  <c r="E26" i="3"/>
  <c r="H26" i="3" s="1"/>
  <c r="E27" i="3"/>
  <c r="H27" i="3" s="1"/>
  <c r="E28" i="3"/>
  <c r="H28" i="3" s="1"/>
  <c r="E29" i="3"/>
  <c r="H29" i="3" s="1"/>
  <c r="E30" i="3"/>
  <c r="H30" i="3" s="1"/>
  <c r="E31" i="3"/>
  <c r="H31" i="3" s="1"/>
  <c r="E32" i="3"/>
  <c r="H32" i="3" s="1"/>
  <c r="E33" i="3"/>
  <c r="H33" i="3" s="1"/>
  <c r="E34" i="3"/>
  <c r="H34" i="3" s="1"/>
  <c r="E35" i="3"/>
  <c r="H35" i="3" s="1"/>
  <c r="E36" i="3"/>
  <c r="H36" i="3" s="1"/>
  <c r="E37" i="3"/>
  <c r="H37" i="3" s="1"/>
  <c r="E38" i="3"/>
  <c r="H38" i="3" s="1"/>
  <c r="E39" i="3"/>
  <c r="H39" i="3" s="1"/>
  <c r="E40" i="3"/>
  <c r="H40" i="3" s="1"/>
  <c r="E41" i="3"/>
  <c r="H41" i="3" s="1"/>
  <c r="E42" i="3"/>
  <c r="H42" i="3" s="1"/>
  <c r="E43" i="3"/>
  <c r="H43" i="3" s="1"/>
  <c r="E44" i="3"/>
  <c r="H44" i="3" s="1"/>
  <c r="E45" i="3"/>
  <c r="H45" i="3" s="1"/>
  <c r="E46" i="3"/>
  <c r="H46" i="3" s="1"/>
  <c r="E47" i="3"/>
  <c r="H47" i="3" s="1"/>
  <c r="E48" i="3"/>
  <c r="H48" i="3" s="1"/>
  <c r="E49" i="3"/>
  <c r="H49" i="3" s="1"/>
  <c r="E50" i="3"/>
  <c r="H50" i="3" s="1"/>
  <c r="E51" i="3"/>
  <c r="H51" i="3" s="1"/>
  <c r="E52" i="3"/>
  <c r="H52" i="3" s="1"/>
  <c r="E53" i="3"/>
  <c r="H53" i="3" s="1"/>
  <c r="E54" i="3"/>
  <c r="H54" i="3" s="1"/>
  <c r="E55" i="3"/>
  <c r="H55" i="3" s="1"/>
  <c r="E56" i="3"/>
  <c r="H56" i="3" s="1"/>
  <c r="E57" i="3"/>
  <c r="H57" i="3" s="1"/>
  <c r="E58" i="3"/>
  <c r="H58" i="3" s="1"/>
  <c r="E59" i="3"/>
  <c r="H59" i="3" s="1"/>
  <c r="E60" i="3"/>
  <c r="H60" i="3" s="1"/>
  <c r="E61" i="3"/>
  <c r="H61" i="3" s="1"/>
  <c r="E62" i="3"/>
  <c r="H62" i="3" s="1"/>
  <c r="E63" i="3"/>
  <c r="H63" i="3" s="1"/>
  <c r="E64" i="3"/>
  <c r="H64" i="3" s="1"/>
  <c r="E65" i="3"/>
  <c r="H65" i="3" s="1"/>
  <c r="E66" i="3"/>
  <c r="H66" i="3" s="1"/>
  <c r="E67" i="3"/>
  <c r="H67" i="3" s="1"/>
  <c r="E68" i="3"/>
  <c r="H68" i="3" s="1"/>
  <c r="E69" i="3"/>
  <c r="H69" i="3" s="1"/>
  <c r="E70" i="3"/>
  <c r="H70" i="3" s="1"/>
  <c r="E71" i="3"/>
  <c r="H71" i="3" s="1"/>
  <c r="E72" i="3"/>
  <c r="H72" i="3" s="1"/>
  <c r="E73" i="3"/>
  <c r="H73" i="3" s="1"/>
  <c r="E74" i="3"/>
  <c r="H74" i="3" s="1"/>
  <c r="E75" i="3"/>
  <c r="H75" i="3" s="1"/>
  <c r="E76" i="3"/>
  <c r="H76" i="3" s="1"/>
  <c r="E77" i="3"/>
  <c r="H77" i="3" s="1"/>
  <c r="E78" i="3"/>
  <c r="H78" i="3" s="1"/>
  <c r="E79" i="3"/>
  <c r="H79" i="3" s="1"/>
  <c r="E80" i="3"/>
  <c r="H80" i="3" s="1"/>
  <c r="E81" i="3"/>
  <c r="H81" i="3" s="1"/>
  <c r="E82" i="3"/>
  <c r="H82" i="3" s="1"/>
  <c r="E83" i="3"/>
  <c r="H83" i="3" s="1"/>
  <c r="E84" i="3"/>
  <c r="H84" i="3" s="1"/>
  <c r="E85" i="3"/>
  <c r="H85" i="3" s="1"/>
  <c r="E86" i="3"/>
  <c r="H86" i="3" s="1"/>
  <c r="E87" i="3"/>
  <c r="H87" i="3" s="1"/>
  <c r="E88" i="3"/>
  <c r="H88" i="3" s="1"/>
  <c r="E89" i="3"/>
  <c r="H89" i="3" s="1"/>
  <c r="E90" i="3"/>
  <c r="H90" i="3" s="1"/>
  <c r="E91" i="3"/>
  <c r="H91" i="3" s="1"/>
  <c r="E92" i="3"/>
  <c r="H92" i="3" s="1"/>
  <c r="E93" i="3"/>
  <c r="H93" i="3" s="1"/>
  <c r="E94" i="3"/>
  <c r="H94" i="3" s="1"/>
  <c r="E95" i="3"/>
  <c r="H95" i="3" s="1"/>
  <c r="E96" i="3"/>
  <c r="H96" i="3" s="1"/>
  <c r="E97" i="3"/>
  <c r="H97" i="3" s="1"/>
  <c r="E98" i="3"/>
  <c r="H98" i="3" s="1"/>
  <c r="E99" i="3"/>
  <c r="H99" i="3" s="1"/>
  <c r="E100" i="3"/>
  <c r="H100" i="3" s="1"/>
  <c r="D4" i="3"/>
  <c r="D5" i="3"/>
  <c r="D6" i="3"/>
  <c r="G6" i="3" s="1"/>
  <c r="D7" i="3"/>
  <c r="G7" i="3" s="1"/>
  <c r="D8" i="3"/>
  <c r="G8" i="3" s="1"/>
  <c r="D9" i="3"/>
  <c r="G9" i="3" s="1"/>
  <c r="D10" i="3"/>
  <c r="G10" i="3" s="1"/>
  <c r="D11" i="3"/>
  <c r="G11" i="3" s="1"/>
  <c r="D12" i="3"/>
  <c r="G12" i="3" s="1"/>
  <c r="D13" i="3"/>
  <c r="G13" i="3" s="1"/>
  <c r="D14" i="3"/>
  <c r="G14" i="3" s="1"/>
  <c r="D15" i="3"/>
  <c r="G15" i="3" s="1"/>
  <c r="D16" i="3"/>
  <c r="G16" i="3" s="1"/>
  <c r="D17" i="3"/>
  <c r="G17" i="3" s="1"/>
  <c r="D18" i="3"/>
  <c r="G18" i="3" s="1"/>
  <c r="D19" i="3"/>
  <c r="G19" i="3" s="1"/>
  <c r="D20" i="3"/>
  <c r="G20" i="3" s="1"/>
  <c r="D21" i="3"/>
  <c r="G21" i="3" s="1"/>
  <c r="D22" i="3"/>
  <c r="G22" i="3" s="1"/>
  <c r="D23" i="3"/>
  <c r="G23" i="3" s="1"/>
  <c r="D24" i="3"/>
  <c r="G24" i="3" s="1"/>
  <c r="D25" i="3"/>
  <c r="G25" i="3" s="1"/>
  <c r="D26" i="3"/>
  <c r="G26" i="3" s="1"/>
  <c r="D27" i="3"/>
  <c r="G27" i="3" s="1"/>
  <c r="D28" i="3"/>
  <c r="G28" i="3" s="1"/>
  <c r="D29" i="3"/>
  <c r="G29" i="3" s="1"/>
  <c r="D30" i="3"/>
  <c r="G30" i="3" s="1"/>
  <c r="D31" i="3"/>
  <c r="G31" i="3" s="1"/>
  <c r="D32" i="3"/>
  <c r="G32" i="3" s="1"/>
  <c r="D33" i="3"/>
  <c r="G33" i="3" s="1"/>
  <c r="D34" i="3"/>
  <c r="G34" i="3" s="1"/>
  <c r="D35" i="3"/>
  <c r="G35" i="3" s="1"/>
  <c r="D36" i="3"/>
  <c r="G36" i="3" s="1"/>
  <c r="D37" i="3"/>
  <c r="G37" i="3" s="1"/>
  <c r="D38" i="3"/>
  <c r="G38" i="3" s="1"/>
  <c r="D39" i="3"/>
  <c r="G39" i="3" s="1"/>
  <c r="D40" i="3"/>
  <c r="G40" i="3" s="1"/>
  <c r="D41" i="3"/>
  <c r="G41" i="3" s="1"/>
  <c r="D42" i="3"/>
  <c r="G42" i="3" s="1"/>
  <c r="D43" i="3"/>
  <c r="G43" i="3" s="1"/>
  <c r="D44" i="3"/>
  <c r="G44" i="3" s="1"/>
  <c r="D45" i="3"/>
  <c r="G45" i="3" s="1"/>
  <c r="D46" i="3"/>
  <c r="G46" i="3" s="1"/>
  <c r="D47" i="3"/>
  <c r="G47" i="3" s="1"/>
  <c r="D48" i="3"/>
  <c r="G48" i="3" s="1"/>
  <c r="D49" i="3"/>
  <c r="G49" i="3" s="1"/>
  <c r="D50" i="3"/>
  <c r="G50" i="3" s="1"/>
  <c r="D51" i="3"/>
  <c r="G51" i="3" s="1"/>
  <c r="D52" i="3"/>
  <c r="G52" i="3" s="1"/>
  <c r="D53" i="3"/>
  <c r="G53" i="3" s="1"/>
  <c r="D54" i="3"/>
  <c r="G54" i="3" s="1"/>
  <c r="D55" i="3"/>
  <c r="G55" i="3" s="1"/>
  <c r="D56" i="3"/>
  <c r="G56" i="3" s="1"/>
  <c r="D57" i="3"/>
  <c r="G57" i="3" s="1"/>
  <c r="D58" i="3"/>
  <c r="G58" i="3" s="1"/>
  <c r="D59" i="3"/>
  <c r="G59" i="3" s="1"/>
  <c r="D60" i="3"/>
  <c r="G60" i="3" s="1"/>
  <c r="D61" i="3"/>
  <c r="G61" i="3" s="1"/>
  <c r="D62" i="3"/>
  <c r="G62" i="3" s="1"/>
  <c r="D63" i="3"/>
  <c r="G63" i="3" s="1"/>
  <c r="D64" i="3"/>
  <c r="G64" i="3" s="1"/>
  <c r="D65" i="3"/>
  <c r="G65" i="3" s="1"/>
  <c r="D66" i="3"/>
  <c r="G66" i="3" s="1"/>
  <c r="D67" i="3"/>
  <c r="G67" i="3" s="1"/>
  <c r="D68" i="3"/>
  <c r="G68" i="3" s="1"/>
  <c r="D69" i="3"/>
  <c r="G69" i="3" s="1"/>
  <c r="D70" i="3"/>
  <c r="G70" i="3" s="1"/>
  <c r="D71" i="3"/>
  <c r="G71" i="3" s="1"/>
  <c r="D72" i="3"/>
  <c r="G72" i="3" s="1"/>
  <c r="D73" i="3"/>
  <c r="G73" i="3" s="1"/>
  <c r="D74" i="3"/>
  <c r="G74" i="3" s="1"/>
  <c r="D75" i="3"/>
  <c r="G75" i="3" s="1"/>
  <c r="D76" i="3"/>
  <c r="G76" i="3" s="1"/>
  <c r="D77" i="3"/>
  <c r="G77" i="3" s="1"/>
  <c r="D78" i="3"/>
  <c r="G78" i="3" s="1"/>
  <c r="D79" i="3"/>
  <c r="G79" i="3" s="1"/>
  <c r="D80" i="3"/>
  <c r="G80" i="3" s="1"/>
  <c r="D81" i="3"/>
  <c r="G81" i="3" s="1"/>
  <c r="D82" i="3"/>
  <c r="G82" i="3" s="1"/>
  <c r="D83" i="3"/>
  <c r="G83" i="3" s="1"/>
  <c r="D84" i="3"/>
  <c r="G84" i="3" s="1"/>
  <c r="D85" i="3"/>
  <c r="G85" i="3" s="1"/>
  <c r="D86" i="3"/>
  <c r="G86" i="3" s="1"/>
  <c r="D87" i="3"/>
  <c r="G87" i="3" s="1"/>
  <c r="D88" i="3"/>
  <c r="G88" i="3" s="1"/>
  <c r="D89" i="3"/>
  <c r="G89" i="3" s="1"/>
  <c r="D90" i="3"/>
  <c r="G90" i="3" s="1"/>
  <c r="D91" i="3"/>
  <c r="G91" i="3" s="1"/>
  <c r="D92" i="3"/>
  <c r="G92" i="3" s="1"/>
  <c r="D93" i="3"/>
  <c r="G93" i="3" s="1"/>
  <c r="D94" i="3"/>
  <c r="G94" i="3" s="1"/>
  <c r="D95" i="3"/>
  <c r="G95" i="3" s="1"/>
  <c r="D96" i="3"/>
  <c r="G96" i="3" s="1"/>
  <c r="D97" i="3"/>
  <c r="G97" i="3" s="1"/>
  <c r="D98" i="3"/>
  <c r="G98" i="3" s="1"/>
  <c r="D99" i="3"/>
  <c r="G99" i="3" s="1"/>
  <c r="D100" i="3"/>
  <c r="G100" i="3" s="1"/>
  <c r="D3" i="3"/>
  <c r="B3" i="3"/>
  <c r="B4" i="3"/>
  <c r="B5" i="3"/>
  <c r="B6" i="3"/>
  <c r="B7" i="3"/>
  <c r="B8" i="3"/>
  <c r="K8" i="3" s="1"/>
  <c r="B9" i="3"/>
  <c r="K9" i="3" s="1"/>
  <c r="B10" i="3"/>
  <c r="B11" i="3"/>
  <c r="B12" i="3"/>
  <c r="B13" i="3"/>
  <c r="B14" i="3"/>
  <c r="B15" i="3"/>
  <c r="K15" i="3" s="1"/>
  <c r="B16" i="3"/>
  <c r="B17" i="3"/>
  <c r="B18" i="3"/>
  <c r="B19" i="3"/>
  <c r="B20" i="3"/>
  <c r="K20" i="3" s="1"/>
  <c r="B21" i="3"/>
  <c r="K21" i="3" s="1"/>
  <c r="B22" i="3"/>
  <c r="B23" i="3"/>
  <c r="B24" i="3"/>
  <c r="B25" i="3"/>
  <c r="B26" i="3"/>
  <c r="B27" i="3"/>
  <c r="K27" i="3" s="1"/>
  <c r="B28" i="3"/>
  <c r="B29" i="3"/>
  <c r="B30" i="3"/>
  <c r="B31" i="3"/>
  <c r="B32" i="3"/>
  <c r="K32" i="3" s="1"/>
  <c r="B33" i="3"/>
  <c r="K33" i="3" s="1"/>
  <c r="B34" i="3"/>
  <c r="B35" i="3"/>
  <c r="B36" i="3"/>
  <c r="B37" i="3"/>
  <c r="B38" i="3"/>
  <c r="B39" i="3"/>
  <c r="K39" i="3" s="1"/>
  <c r="B40" i="3"/>
  <c r="B41" i="3"/>
  <c r="B42" i="3"/>
  <c r="B43" i="3"/>
  <c r="B44" i="3"/>
  <c r="K44" i="3" s="1"/>
  <c r="B45" i="3"/>
  <c r="K45" i="3" s="1"/>
  <c r="B46" i="3"/>
  <c r="B47" i="3"/>
  <c r="B48" i="3"/>
  <c r="B49" i="3"/>
  <c r="B50" i="3"/>
  <c r="B51" i="3"/>
  <c r="K51" i="3" s="1"/>
  <c r="B52" i="3"/>
  <c r="B53" i="3"/>
  <c r="B54" i="3"/>
  <c r="B55" i="3"/>
  <c r="B56" i="3"/>
  <c r="K56" i="3" s="1"/>
  <c r="B57" i="3"/>
  <c r="K57" i="3" s="1"/>
  <c r="B58" i="3"/>
  <c r="B59" i="3"/>
  <c r="B60" i="3"/>
  <c r="B61" i="3"/>
  <c r="B62" i="3"/>
  <c r="B63" i="3"/>
  <c r="K63" i="3" s="1"/>
  <c r="B64" i="3"/>
  <c r="B65" i="3"/>
  <c r="B66" i="3"/>
  <c r="B67" i="3"/>
  <c r="B68" i="3"/>
  <c r="K68" i="3" s="1"/>
  <c r="B69" i="3"/>
  <c r="K69" i="3" s="1"/>
  <c r="B70" i="3"/>
  <c r="B71" i="3"/>
  <c r="B72" i="3"/>
  <c r="B73" i="3"/>
  <c r="B74" i="3"/>
  <c r="B75" i="3"/>
  <c r="K75" i="3" s="1"/>
  <c r="B76" i="3"/>
  <c r="B77" i="3"/>
  <c r="B78" i="3"/>
  <c r="B79" i="3"/>
  <c r="B80" i="3"/>
  <c r="K80" i="3" s="1"/>
  <c r="B81" i="3"/>
  <c r="K81" i="3" s="1"/>
  <c r="B82" i="3"/>
  <c r="B83" i="3"/>
  <c r="B84" i="3"/>
  <c r="B85" i="3"/>
  <c r="B86" i="3"/>
  <c r="B87" i="3"/>
  <c r="K87" i="3" s="1"/>
  <c r="B88" i="3"/>
  <c r="B89" i="3"/>
  <c r="B90" i="3"/>
  <c r="B91" i="3"/>
  <c r="B92" i="3"/>
  <c r="K92" i="3" s="1"/>
  <c r="B93" i="3"/>
  <c r="K93" i="3" s="1"/>
  <c r="B94" i="3"/>
  <c r="B95" i="3"/>
  <c r="B96" i="3"/>
  <c r="B97" i="3"/>
  <c r="B98" i="3"/>
  <c r="B99" i="3"/>
  <c r="K99" i="3" s="1"/>
  <c r="B100" i="3"/>
  <c r="A4" i="3"/>
  <c r="A5" i="3"/>
  <c r="A6" i="3"/>
  <c r="A7" i="3"/>
  <c r="J7" i="3" s="1"/>
  <c r="A8" i="3"/>
  <c r="J8" i="3" s="1"/>
  <c r="A9" i="3"/>
  <c r="A10" i="3"/>
  <c r="A11" i="3"/>
  <c r="A12" i="3"/>
  <c r="A13" i="3"/>
  <c r="A14" i="3"/>
  <c r="J14" i="3" s="1"/>
  <c r="A15" i="3"/>
  <c r="A16" i="3"/>
  <c r="A17" i="3"/>
  <c r="A18" i="3"/>
  <c r="A19" i="3"/>
  <c r="J19" i="3" s="1"/>
  <c r="A20" i="3"/>
  <c r="J20" i="3" s="1"/>
  <c r="A21" i="3"/>
  <c r="A22" i="3"/>
  <c r="A23" i="3"/>
  <c r="A24" i="3"/>
  <c r="A25" i="3"/>
  <c r="A26" i="3"/>
  <c r="J26" i="3" s="1"/>
  <c r="A27" i="3"/>
  <c r="A28" i="3"/>
  <c r="A29" i="3"/>
  <c r="A30" i="3"/>
  <c r="A31" i="3"/>
  <c r="J31" i="3" s="1"/>
  <c r="A32" i="3"/>
  <c r="J32" i="3" s="1"/>
  <c r="A33" i="3"/>
  <c r="A34" i="3"/>
  <c r="A35" i="3"/>
  <c r="A36" i="3"/>
  <c r="A37" i="3"/>
  <c r="A38" i="3"/>
  <c r="J38" i="3" s="1"/>
  <c r="A39" i="3"/>
  <c r="A40" i="3"/>
  <c r="A41" i="3"/>
  <c r="A42" i="3"/>
  <c r="A43" i="3"/>
  <c r="J43" i="3" s="1"/>
  <c r="A44" i="3"/>
  <c r="J44" i="3" s="1"/>
  <c r="A45" i="3"/>
  <c r="A46" i="3"/>
  <c r="A47" i="3"/>
  <c r="A48" i="3"/>
  <c r="A49" i="3"/>
  <c r="A50" i="3"/>
  <c r="J50" i="3" s="1"/>
  <c r="A51" i="3"/>
  <c r="A52" i="3"/>
  <c r="A53" i="3"/>
  <c r="A54" i="3"/>
  <c r="A55" i="3"/>
  <c r="J55" i="3" s="1"/>
  <c r="A56" i="3"/>
  <c r="J56" i="3" s="1"/>
  <c r="A57" i="3"/>
  <c r="A58" i="3"/>
  <c r="A59" i="3"/>
  <c r="A60" i="3"/>
  <c r="A61" i="3"/>
  <c r="A62" i="3"/>
  <c r="J62" i="3" s="1"/>
  <c r="A63" i="3"/>
  <c r="A64" i="3"/>
  <c r="A65" i="3"/>
  <c r="A66" i="3"/>
  <c r="A67" i="3"/>
  <c r="J67" i="3" s="1"/>
  <c r="A68" i="3"/>
  <c r="J68" i="3" s="1"/>
  <c r="A69" i="3"/>
  <c r="A70" i="3"/>
  <c r="A71" i="3"/>
  <c r="A72" i="3"/>
  <c r="A73" i="3"/>
  <c r="A74" i="3"/>
  <c r="J74" i="3" s="1"/>
  <c r="A75" i="3"/>
  <c r="A76" i="3"/>
  <c r="A77" i="3"/>
  <c r="A78" i="3"/>
  <c r="A79" i="3"/>
  <c r="J79" i="3" s="1"/>
  <c r="A80" i="3"/>
  <c r="J80" i="3" s="1"/>
  <c r="A81" i="3"/>
  <c r="A82" i="3"/>
  <c r="A83" i="3"/>
  <c r="A84" i="3"/>
  <c r="A85" i="3"/>
  <c r="A86" i="3"/>
  <c r="J86" i="3" s="1"/>
  <c r="A87" i="3"/>
  <c r="A88" i="3"/>
  <c r="A89" i="3"/>
  <c r="A90" i="3"/>
  <c r="A91" i="3"/>
  <c r="J91" i="3" s="1"/>
  <c r="A92" i="3"/>
  <c r="J92" i="3" s="1"/>
  <c r="A93" i="3"/>
  <c r="A94" i="3"/>
  <c r="A95" i="3"/>
  <c r="A96" i="3"/>
  <c r="A97" i="3"/>
  <c r="A98" i="3"/>
  <c r="J98" i="3" s="1"/>
  <c r="A99" i="3"/>
  <c r="A100" i="3"/>
  <c r="A3" i="3"/>
  <c r="K36" i="1"/>
  <c r="O36" i="1"/>
  <c r="J97" i="3" l="1"/>
  <c r="J85" i="3"/>
  <c r="J73" i="3"/>
  <c r="J61" i="3"/>
  <c r="J49" i="3"/>
  <c r="J37" i="3"/>
  <c r="J25" i="3"/>
  <c r="J13" i="3"/>
  <c r="K98" i="3"/>
  <c r="K86" i="3"/>
  <c r="K74" i="3"/>
  <c r="K62" i="3"/>
  <c r="K50" i="3"/>
  <c r="K38" i="3"/>
  <c r="K26" i="3"/>
  <c r="K14" i="3"/>
  <c r="G3" i="3"/>
  <c r="J93" i="3"/>
  <c r="J81" i="3"/>
  <c r="J69" i="3"/>
  <c r="J57" i="3"/>
  <c r="J45" i="3"/>
  <c r="J33" i="3"/>
  <c r="J21" i="3"/>
  <c r="J9" i="3"/>
  <c r="J95" i="3"/>
  <c r="J35" i="3"/>
  <c r="K60" i="3"/>
  <c r="K64" i="3"/>
  <c r="K52" i="3"/>
  <c r="J71" i="3"/>
  <c r="J47" i="3"/>
  <c r="J23" i="3"/>
  <c r="K96" i="3"/>
  <c r="K72" i="3"/>
  <c r="K36" i="3"/>
  <c r="K24" i="3"/>
  <c r="K12" i="3"/>
  <c r="J94" i="3"/>
  <c r="J82" i="3"/>
  <c r="J70" i="3"/>
  <c r="J58" i="3"/>
  <c r="J46" i="3"/>
  <c r="J34" i="3"/>
  <c r="J22" i="3"/>
  <c r="J10" i="3"/>
  <c r="K95" i="3"/>
  <c r="K83" i="3"/>
  <c r="K71" i="3"/>
  <c r="K59" i="3"/>
  <c r="K47" i="3"/>
  <c r="K35" i="3"/>
  <c r="K23" i="3"/>
  <c r="K11" i="3"/>
  <c r="J83" i="3"/>
  <c r="J59" i="3"/>
  <c r="J11" i="3"/>
  <c r="K84" i="3"/>
  <c r="K48" i="3"/>
  <c r="K94" i="3"/>
  <c r="K82" i="3"/>
  <c r="K70" i="3"/>
  <c r="K58" i="3"/>
  <c r="K46" i="3"/>
  <c r="K34" i="3"/>
  <c r="K22" i="3"/>
  <c r="K10" i="3"/>
  <c r="J99" i="3"/>
  <c r="J87" i="3"/>
  <c r="J75" i="3"/>
  <c r="J63" i="3"/>
  <c r="J51" i="3"/>
  <c r="J39" i="3"/>
  <c r="J27" i="3"/>
  <c r="J15" i="3"/>
  <c r="K100" i="3"/>
  <c r="K88" i="3"/>
  <c r="K76" i="3"/>
  <c r="K40" i="3"/>
  <c r="K28" i="3"/>
  <c r="K16" i="3"/>
  <c r="K4" i="3"/>
  <c r="J3" i="3"/>
  <c r="J90" i="3"/>
  <c r="J78" i="3"/>
  <c r="J66" i="3"/>
  <c r="J54" i="3"/>
  <c r="J42" i="3"/>
  <c r="J30" i="3"/>
  <c r="J18" i="3"/>
  <c r="J6" i="3"/>
  <c r="K91" i="3"/>
  <c r="K79" i="3"/>
  <c r="K67" i="3"/>
  <c r="K55" i="3"/>
  <c r="K43" i="3"/>
  <c r="K31" i="3"/>
  <c r="K19" i="3"/>
  <c r="K7" i="3"/>
  <c r="J89" i="3"/>
  <c r="J77" i="3"/>
  <c r="J65" i="3"/>
  <c r="J53" i="3"/>
  <c r="J41" i="3"/>
  <c r="J29" i="3"/>
  <c r="J17" i="3"/>
  <c r="J5" i="3"/>
  <c r="K90" i="3"/>
  <c r="K78" i="3"/>
  <c r="K66" i="3"/>
  <c r="K54" i="3"/>
  <c r="K42" i="3"/>
  <c r="K30" i="3"/>
  <c r="K18" i="3"/>
  <c r="K6" i="3"/>
  <c r="J100" i="3"/>
  <c r="J88" i="3"/>
  <c r="J76" i="3"/>
  <c r="J64" i="3"/>
  <c r="J52" i="3"/>
  <c r="J40" i="3"/>
  <c r="J28" i="3"/>
  <c r="J16" i="3"/>
  <c r="J4" i="3"/>
  <c r="K89" i="3"/>
  <c r="K77" i="3"/>
  <c r="K65" i="3"/>
  <c r="K53" i="3"/>
  <c r="K41" i="3"/>
  <c r="K29" i="3"/>
  <c r="K17" i="3"/>
  <c r="K85" i="3"/>
  <c r="K25" i="3"/>
  <c r="K61" i="3"/>
  <c r="K37" i="3"/>
  <c r="K97" i="3"/>
  <c r="K73" i="3"/>
  <c r="K49" i="3"/>
  <c r="K13" i="3"/>
  <c r="J96" i="3"/>
  <c r="J72" i="3"/>
  <c r="J48" i="3"/>
  <c r="J24" i="3"/>
  <c r="K3" i="3"/>
  <c r="J84" i="3"/>
  <c r="J60" i="3"/>
  <c r="J36" i="3"/>
  <c r="J12" i="3"/>
  <c r="K5" i="3"/>
  <c r="G4" i="3"/>
  <c r="G5" i="3"/>
  <c r="H3" i="3"/>
  <c r="O14" i="1"/>
  <c r="O28" i="1"/>
  <c r="O29" i="1"/>
  <c r="O37" i="1"/>
  <c r="O38" i="1"/>
  <c r="O40" i="1"/>
  <c r="D56" i="1"/>
  <c r="D57" i="1"/>
  <c r="D58" i="1"/>
  <c r="D59" i="1"/>
  <c r="D60" i="1"/>
  <c r="D61" i="1"/>
  <c r="D62" i="1"/>
  <c r="D63" i="1"/>
  <c r="D64" i="1"/>
  <c r="D15" i="1"/>
  <c r="D16" i="1"/>
  <c r="D19" i="1"/>
  <c r="D25" i="1"/>
  <c r="D26" i="1"/>
  <c r="D27" i="1"/>
  <c r="D28" i="1"/>
  <c r="D29" i="1"/>
  <c r="D30" i="1"/>
  <c r="D31" i="1"/>
  <c r="D32" i="1"/>
  <c r="D33" i="1"/>
  <c r="D34" i="1"/>
  <c r="D35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14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15" i="1"/>
  <c r="F16" i="1"/>
  <c r="F19" i="1"/>
  <c r="F25" i="1"/>
  <c r="F26" i="1"/>
  <c r="F27" i="1"/>
  <c r="F28" i="1"/>
  <c r="F29" i="1"/>
  <c r="F30" i="1"/>
  <c r="F31" i="1"/>
  <c r="F32" i="1"/>
  <c r="F33" i="1"/>
  <c r="F34" i="1"/>
  <c r="F35" i="1"/>
  <c r="F37" i="1"/>
  <c r="F38" i="1"/>
  <c r="F39" i="1"/>
  <c r="F14" i="1"/>
  <c r="K32" i="1"/>
  <c r="O32" i="1"/>
  <c r="A6" i="2"/>
  <c r="A3" i="2"/>
  <c r="A4" i="2"/>
  <c r="A5" i="2"/>
  <c r="O15" i="1"/>
  <c r="O16" i="1"/>
  <c r="O19" i="1"/>
  <c r="O25" i="1"/>
  <c r="O26" i="1"/>
  <c r="O30" i="1"/>
  <c r="O31" i="1"/>
  <c r="O33" i="1"/>
  <c r="O34" i="1"/>
  <c r="O35" i="1"/>
  <c r="O39" i="1"/>
  <c r="O41" i="1"/>
  <c r="O42" i="1"/>
  <c r="O60" i="1"/>
  <c r="O62" i="1"/>
  <c r="O63" i="1"/>
  <c r="O64" i="1"/>
  <c r="O27" i="1"/>
  <c r="K14" i="1"/>
  <c r="K15" i="1"/>
  <c r="K16" i="1"/>
  <c r="K19" i="1"/>
  <c r="K25" i="1"/>
  <c r="K26" i="1"/>
  <c r="K28" i="1"/>
  <c r="K29" i="1"/>
  <c r="K30" i="1"/>
  <c r="K31" i="1"/>
  <c r="K33" i="1"/>
  <c r="K34" i="1"/>
  <c r="K35" i="1"/>
  <c r="K39" i="1"/>
  <c r="K42" i="1"/>
  <c r="K60" i="1"/>
  <c r="K62" i="1"/>
  <c r="K63" i="1"/>
  <c r="K64" i="1"/>
  <c r="K27" i="1"/>
  <c r="N65" i="1"/>
  <c r="H8" i="1"/>
  <c r="BT6" i="1"/>
  <c r="M15" i="3" l="1"/>
  <c r="N17" i="3" s="1"/>
  <c r="M3" i="3"/>
  <c r="K37" i="1"/>
  <c r="R9" i="1"/>
  <c r="R65" i="1" s="1"/>
  <c r="K38" i="1" l="1"/>
  <c r="O65" i="1"/>
  <c r="CD26" i="1"/>
  <c r="S9" i="1"/>
  <c r="S65" i="1" s="1"/>
  <c r="CD27" i="1"/>
  <c r="CD28" i="1"/>
  <c r="CD29" i="1"/>
  <c r="CD31" i="1"/>
  <c r="CD33" i="1"/>
  <c r="R13" i="1"/>
  <c r="R12" i="1"/>
  <c r="R8" i="1" s="1"/>
  <c r="T9" i="1" l="1"/>
  <c r="T65" i="1" s="1"/>
  <c r="CD34" i="1"/>
  <c r="S12" i="1"/>
  <c r="T12" i="1" l="1"/>
  <c r="U9" i="1"/>
  <c r="U65" i="1" s="1"/>
  <c r="CD38" i="1"/>
  <c r="K40" i="1" l="1"/>
  <c r="V9" i="1"/>
  <c r="V65" i="1" s="1"/>
  <c r="U12" i="1"/>
  <c r="K41" i="1"/>
  <c r="CD37" i="1"/>
  <c r="K65" i="1" l="1"/>
  <c r="O3" i="3" s="1"/>
  <c r="N9" i="3" s="1"/>
  <c r="W9" i="1"/>
  <c r="W65" i="1" s="1"/>
  <c r="V12" i="1"/>
  <c r="X9" i="1" l="1"/>
  <c r="X65" i="1" s="1"/>
  <c r="W12" i="1"/>
  <c r="W8" i="1" s="1"/>
  <c r="W13" i="1"/>
  <c r="Y9" i="1" l="1"/>
  <c r="Y65" i="1" s="1"/>
  <c r="X12" i="1"/>
  <c r="Z9" i="1" l="1"/>
  <c r="Z65" i="1" s="1"/>
  <c r="Y12" i="1"/>
  <c r="AA9" i="1" l="1"/>
  <c r="AA65" i="1" s="1"/>
  <c r="Z12" i="1"/>
  <c r="AB9" i="1" l="1"/>
  <c r="AB65" i="1" s="1"/>
  <c r="AA12" i="1"/>
  <c r="AC9" i="1" l="1"/>
  <c r="AC65" i="1" s="1"/>
  <c r="AB12" i="1"/>
  <c r="AB8" i="1" s="1"/>
  <c r="AB13" i="1"/>
  <c r="AD9" i="1" l="1"/>
  <c r="AD65" i="1" s="1"/>
  <c r="AC12" i="1"/>
  <c r="AE9" i="1" l="1"/>
  <c r="AE65" i="1" s="1"/>
  <c r="AD12" i="1"/>
  <c r="AF9" i="1" l="1"/>
  <c r="AF65" i="1" s="1"/>
  <c r="AE12" i="1"/>
  <c r="AG9" i="1" l="1"/>
  <c r="AG65" i="1" s="1"/>
  <c r="AF12" i="1"/>
  <c r="AH9" i="1" l="1"/>
  <c r="AH65" i="1" s="1"/>
  <c r="AG13" i="1"/>
  <c r="AG12" i="1"/>
  <c r="AG8" i="1" s="1"/>
  <c r="AI9" i="1" l="1"/>
  <c r="AI65" i="1" s="1"/>
  <c r="AH12" i="1"/>
  <c r="AJ9" i="1" l="1"/>
  <c r="AJ65" i="1" s="1"/>
  <c r="AI12" i="1"/>
  <c r="AK9" i="1" l="1"/>
  <c r="AK65" i="1" s="1"/>
  <c r="AJ12" i="1"/>
  <c r="AL9" i="1" l="1"/>
  <c r="AL65" i="1" s="1"/>
  <c r="AK12" i="1"/>
  <c r="AL13" i="1" l="1"/>
  <c r="AL12" i="1"/>
  <c r="AL8" i="1" s="1"/>
  <c r="AM9" i="1"/>
  <c r="AM65" i="1" s="1"/>
  <c r="AN9" i="1" l="1"/>
  <c r="AN65" i="1" s="1"/>
  <c r="AM12" i="1"/>
  <c r="AO9" i="1" l="1"/>
  <c r="AO65" i="1" s="1"/>
  <c r="AN12" i="1"/>
  <c r="AP9" i="1" l="1"/>
  <c r="AP65" i="1" s="1"/>
  <c r="AO12" i="1"/>
  <c r="AQ9" i="1" l="1"/>
  <c r="AQ65" i="1" s="1"/>
  <c r="AP12" i="1"/>
  <c r="AR9" i="1" l="1"/>
  <c r="AR65" i="1" s="1"/>
  <c r="AQ13" i="1"/>
  <c r="AQ12" i="1"/>
  <c r="AQ8" i="1" s="1"/>
  <c r="AS9" i="1" l="1"/>
  <c r="AS65" i="1" s="1"/>
  <c r="AR12" i="1"/>
  <c r="AT9" i="1" l="1"/>
  <c r="AT65" i="1" s="1"/>
  <c r="AS12" i="1"/>
  <c r="AU9" i="1" l="1"/>
  <c r="AT12" i="1"/>
  <c r="AV9" i="1" l="1"/>
  <c r="AV65" i="1" s="1"/>
  <c r="AU65" i="1"/>
  <c r="AU12" i="1"/>
  <c r="AW9" i="1" l="1"/>
  <c r="AW65" i="1" s="1"/>
  <c r="AV12" i="1"/>
  <c r="AV8" i="1" s="1"/>
  <c r="AV13" i="1"/>
  <c r="AX9" i="1" l="1"/>
  <c r="AX65" i="1" s="1"/>
  <c r="AW12" i="1"/>
  <c r="AY9" i="1" l="1"/>
  <c r="AY65" i="1" s="1"/>
  <c r="AX12" i="1"/>
  <c r="AZ9" i="1" l="1"/>
  <c r="AZ65" i="1" s="1"/>
  <c r="AY12" i="1"/>
  <c r="BA9" i="1" l="1"/>
  <c r="BA65" i="1" s="1"/>
  <c r="AZ12" i="1"/>
  <c r="BB9" i="1" l="1"/>
  <c r="BB65" i="1" s="1"/>
  <c r="BA12" i="1"/>
  <c r="BA8" i="1" s="1"/>
  <c r="BA13" i="1"/>
  <c r="BC9" i="1" l="1"/>
  <c r="BC65" i="1" s="1"/>
  <c r="BB12" i="1"/>
  <c r="BD9" i="1" l="1"/>
  <c r="BD65" i="1" s="1"/>
  <c r="BC12" i="1"/>
  <c r="BE9" i="1" l="1"/>
  <c r="BE65" i="1" s="1"/>
  <c r="BD12" i="1"/>
  <c r="BE12" i="1" l="1"/>
  <c r="BF9" i="1"/>
  <c r="BF65" i="1" s="1"/>
  <c r="BG9" i="1" l="1"/>
  <c r="BG65" i="1" s="1"/>
  <c r="BF12" i="1"/>
  <c r="BF8" i="1" s="1"/>
  <c r="BF13" i="1"/>
  <c r="BG12" i="1" l="1"/>
  <c r="BH9" i="1"/>
  <c r="BH65" i="1" s="1"/>
  <c r="BI9" i="1" l="1"/>
  <c r="BI65" i="1" s="1"/>
  <c r="BH12" i="1"/>
  <c r="BJ9" i="1" l="1"/>
  <c r="BJ65" i="1" s="1"/>
  <c r="BI12" i="1"/>
  <c r="BK9" i="1" l="1"/>
  <c r="BK65" i="1" s="1"/>
  <c r="BJ12" i="1"/>
  <c r="BL9" i="1" l="1"/>
  <c r="BL65" i="1" s="1"/>
  <c r="BK12" i="1"/>
  <c r="BK8" i="1" s="1"/>
  <c r="BK13" i="1"/>
  <c r="BM9" i="1" l="1"/>
  <c r="BM65" i="1" s="1"/>
  <c r="BL12" i="1"/>
  <c r="BM12" i="1" l="1"/>
  <c r="BN9" i="1"/>
  <c r="BN65" i="1" l="1"/>
  <c r="BO9" i="1"/>
  <c r="BN12" i="1"/>
  <c r="BO65" i="1" l="1"/>
  <c r="BO12" i="1"/>
  <c r="BP9" i="1"/>
  <c r="BP65" i="1" l="1"/>
  <c r="BQ9" i="1"/>
  <c r="BQ65" i="1" s="1"/>
  <c r="BP13" i="1"/>
  <c r="BP12" i="1"/>
  <c r="BP8" i="1" s="1"/>
  <c r="BR9" i="1" l="1"/>
  <c r="BR65" i="1" s="1"/>
  <c r="BQ12" i="1"/>
  <c r="BS9" i="1" l="1"/>
  <c r="BS65" i="1" s="1"/>
  <c r="BR12" i="1"/>
  <c r="BS12" i="1" l="1"/>
  <c r="BT9" i="1"/>
  <c r="BT65" i="1" s="1"/>
  <c r="BT12" i="1" l="1"/>
  <c r="BU9" i="1"/>
  <c r="BU65" i="1" s="1"/>
  <c r="BU12" i="1" l="1"/>
  <c r="BU8" i="1" s="1"/>
  <c r="BV9" i="1"/>
  <c r="BV65" i="1" s="1"/>
  <c r="BU13" i="1"/>
  <c r="BW9" i="1" l="1"/>
  <c r="BW65" i="1" s="1"/>
  <c r="BV12" i="1"/>
  <c r="BW12" i="1" l="1"/>
  <c r="BX9" i="1"/>
  <c r="BX65" i="1" s="1"/>
  <c r="BX12" i="1" l="1"/>
  <c r="BY9" i="1"/>
  <c r="BY65" i="1" s="1"/>
  <c r="BY12" i="1" l="1"/>
</calcChain>
</file>

<file path=xl/sharedStrings.xml><?xml version="1.0" encoding="utf-8"?>
<sst xmlns="http://schemas.openxmlformats.org/spreadsheetml/2006/main" count="127" uniqueCount="97">
  <si>
    <t>Yann COJAN</t>
  </si>
  <si>
    <t>Progression</t>
  </si>
  <si>
    <t>Date debut</t>
  </si>
  <si>
    <t>Date de fin</t>
  </si>
  <si>
    <t>Date début</t>
  </si>
  <si>
    <t>Activité</t>
  </si>
  <si>
    <t>Prévu</t>
  </si>
  <si>
    <t>Réelle</t>
  </si>
  <si>
    <t>Durée</t>
  </si>
  <si>
    <t>Qui?</t>
  </si>
  <si>
    <t>nom</t>
  </si>
  <si>
    <t>ID</t>
  </si>
  <si>
    <t>Dep</t>
  </si>
  <si>
    <t>Abréviation</t>
  </si>
  <si>
    <t>Projet gantt</t>
  </si>
  <si>
    <t>Date de debut de projet :</t>
  </si>
  <si>
    <t>Mettre en couleur un mot :</t>
  </si>
  <si>
    <t>Violet</t>
  </si>
  <si>
    <t>Rouge</t>
  </si>
  <si>
    <t>Vert</t>
  </si>
  <si>
    <t>Couleur</t>
  </si>
  <si>
    <t>mots</t>
  </si>
  <si>
    <t>Jaune</t>
  </si>
  <si>
    <t>mot cle à saisir:</t>
  </si>
  <si>
    <t>Mettre en rose un service :</t>
  </si>
  <si>
    <t>couleur</t>
  </si>
  <si>
    <t>H.CAMUS</t>
  </si>
  <si>
    <t>V.GREGOIRE</t>
  </si>
  <si>
    <t>ELEC</t>
  </si>
  <si>
    <t>AUTO</t>
  </si>
  <si>
    <t>Y.COJAN</t>
  </si>
  <si>
    <t>Mécatronique</t>
  </si>
  <si>
    <t>Entreprise : Rammasse dechets</t>
  </si>
  <si>
    <t>Heure limit</t>
  </si>
  <si>
    <t>T.VILEFAYOT</t>
  </si>
  <si>
    <t>S.JUHEL</t>
  </si>
  <si>
    <t>A.QUEINNEC</t>
  </si>
  <si>
    <t>L.NOTOUM</t>
  </si>
  <si>
    <t>E.PICARD</t>
  </si>
  <si>
    <t>A.QUELO</t>
  </si>
  <si>
    <t>Gantt : Projet Mécantronique</t>
  </si>
  <si>
    <t>TOUT LE MONDE</t>
  </si>
  <si>
    <t>Livrable: dossier analyse de l'existant</t>
  </si>
  <si>
    <t>Livrable</t>
  </si>
  <si>
    <t>Livrable: Gantt prévisionnel</t>
  </si>
  <si>
    <t>Y.BAIBLED</t>
  </si>
  <si>
    <t>Commentaires</t>
  </si>
  <si>
    <t>Livrable: Organisation de l'équipe</t>
  </si>
  <si>
    <t>Victor gestionnaire du Gantt</t>
  </si>
  <si>
    <t>Livrable: Choix matériaux</t>
  </si>
  <si>
    <t>Livrable: Nom du groupe projet + identité graphique</t>
  </si>
  <si>
    <t>Répartir la tâche</t>
  </si>
  <si>
    <t>Periode : oct 2024 - dec 2024</t>
  </si>
  <si>
    <t>Défilement calendrier:</t>
  </si>
  <si>
    <t>Semaines:</t>
  </si>
  <si>
    <t>Hugo chef de projet (RT)</t>
  </si>
  <si>
    <t>debut</t>
  </si>
  <si>
    <t>fin</t>
  </si>
  <si>
    <t>Réel</t>
  </si>
  <si>
    <t>diff fin</t>
  </si>
  <si>
    <t>min</t>
  </si>
  <si>
    <t>max</t>
  </si>
  <si>
    <t>somme</t>
  </si>
  <si>
    <t>c1</t>
  </si>
  <si>
    <t>C2</t>
  </si>
  <si>
    <t>C3</t>
  </si>
  <si>
    <t>Vide</t>
  </si>
  <si>
    <t>diffZ debut</t>
  </si>
  <si>
    <t>diffZ fin</t>
  </si>
  <si>
    <t>diff deb</t>
  </si>
  <si>
    <t>Classeur projet à rédiger</t>
  </si>
  <si>
    <t>Matrice de compétences et répartition des rôles</t>
  </si>
  <si>
    <t>Hugo doit finir de répartir les rôles</t>
  </si>
  <si>
    <t>Analyse fonctionnelle du sous ensemble considéré</t>
  </si>
  <si>
    <t>MATERIAUX</t>
  </si>
  <si>
    <t>MECA</t>
  </si>
  <si>
    <t>PROG</t>
  </si>
  <si>
    <t>Réaliser une matrice de choix + définir le matériau avec le meilleur score</t>
  </si>
  <si>
    <t>Schéma fonctionnel</t>
  </si>
  <si>
    <t xml:space="preserve">Bête à cornes + diagramme pieuvre </t>
  </si>
  <si>
    <t>Prendre en compte les moyens de production disponibles en fonction contraintes</t>
  </si>
  <si>
    <t>Faire un résumé argumenté + chiffré des impacts environnementaux</t>
  </si>
  <si>
    <t>environnemental</t>
  </si>
  <si>
    <t>Prendre en compte l'impact environnemental</t>
  </si>
  <si>
    <t>Livrable: Dossier technique</t>
  </si>
  <si>
    <t>Livrable: Plans</t>
  </si>
  <si>
    <t>Livrable: Note de calculs</t>
  </si>
  <si>
    <t>Workshops</t>
  </si>
  <si>
    <t>Soutenance</t>
  </si>
  <si>
    <t>Compléter lorsque on aura le cahier des charges</t>
  </si>
  <si>
    <t>3 .1</t>
  </si>
  <si>
    <t>3 .2</t>
  </si>
  <si>
    <t>4 .1</t>
  </si>
  <si>
    <t>4 .2 .1</t>
  </si>
  <si>
    <t>4 .2 .2</t>
  </si>
  <si>
    <t>4 .2</t>
  </si>
  <si>
    <t>4 .3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</si>
</sst>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dd/mm/yy;@"/>
    <numFmt numFmtId="165" formatCode="[$-40C]d\-mmm\-yy;@"/>
    <numFmt numFmtId="166" formatCode="h:mm;@"/>
    <numFmt numFmtId="167" formatCode="0.0"/>
  </numFmts>
  <fonts count="2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theme="2"/>
      <name val="Calibri"/>
      <family val="2"/>
      <scheme val="minor"/>
    </font>
    <font>
      <sz val="11"/>
      <name val="Calibri"/>
      <family val="2"/>
      <scheme val="minor"/>
    </font>
    <font>
      <b/>
      <sz val="20"/>
      <color rgb="FF66FFFF"/>
      <name val="Calibri"/>
      <family val="2"/>
      <scheme val="minor"/>
    </font>
    <font>
      <b/>
      <sz val="11"/>
      <color rgb="FF66FFFF"/>
      <name val="Calibri"/>
      <family val="2"/>
      <scheme val="minor"/>
    </font>
    <font>
      <b/>
      <sz val="22"/>
      <color rgb="FF66FFFF"/>
      <name val="Calibri"/>
      <family val="2"/>
      <scheme val="minor"/>
    </font>
    <font>
      <b/>
      <sz val="20"/>
      <color theme="2"/>
      <name val="Calibri"/>
      <family val="2"/>
      <scheme val="minor"/>
    </font>
    <font>
      <b/>
      <sz val="12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1"/>
      <color rgb="FFFF2DF5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2BFF7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99"/>
        <bgColor indexed="64"/>
      </patternFill>
    </fill>
  </fills>
  <borders count="37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theme="2" tint="-9.9978637043366805E-2"/>
      </right>
      <top/>
      <bottom/>
      <diagonal/>
    </border>
    <border>
      <left style="thin">
        <color theme="0" tint="-0.249977111117893"/>
      </left>
      <right/>
      <top/>
      <bottom/>
      <diagonal/>
    </border>
    <border>
      <left style="thin">
        <color indexed="64"/>
      </left>
      <right/>
      <top style="thin">
        <color theme="1"/>
      </top>
      <bottom style="thin">
        <color indexed="64"/>
      </bottom>
      <diagonal/>
    </border>
    <border>
      <left/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/>
      <top style="thin">
        <color theme="2" tint="-0.249977111117893"/>
      </top>
      <bottom/>
      <diagonal/>
    </border>
    <border>
      <left/>
      <right/>
      <top style="thin">
        <color theme="2" tint="-0.249977111117893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118">
    <xf numFmtId="0" fontId="0" fillId="0" borderId="0" xfId="0"/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5" fillId="0" borderId="0" xfId="0" applyFont="1"/>
    <xf numFmtId="0" fontId="0" fillId="0" borderId="13" xfId="0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/>
    </xf>
    <xf numFmtId="0" fontId="6" fillId="0" borderId="2" xfId="0" applyFont="1" applyBorder="1" applyAlignment="1">
      <alignment horizontal="center" vertical="center"/>
    </xf>
    <xf numFmtId="0" fontId="0" fillId="0" borderId="5" xfId="0" applyBorder="1"/>
    <xf numFmtId="0" fontId="0" fillId="5" borderId="0" xfId="0" applyFill="1"/>
    <xf numFmtId="0" fontId="3" fillId="0" borderId="0" xfId="0" applyFont="1" applyAlignment="1">
      <alignment horizontal="center" vertical="center"/>
    </xf>
    <xf numFmtId="0" fontId="0" fillId="0" borderId="4" xfId="0" applyBorder="1"/>
    <xf numFmtId="0" fontId="0" fillId="0" borderId="12" xfId="0" applyBorder="1"/>
    <xf numFmtId="0" fontId="9" fillId="5" borderId="0" xfId="0" applyFont="1" applyFill="1" applyAlignment="1">
      <alignment vertical="center"/>
    </xf>
    <xf numFmtId="0" fontId="10" fillId="5" borderId="0" xfId="0" applyFont="1" applyFill="1"/>
    <xf numFmtId="0" fontId="0" fillId="0" borderId="7" xfId="0" applyBorder="1" applyAlignment="1">
      <alignment horizontal="left" vertical="center"/>
    </xf>
    <xf numFmtId="9" fontId="0" fillId="0" borderId="8" xfId="0" applyNumberFormat="1" applyBorder="1" applyAlignment="1">
      <alignment horizontal="left" vertical="center"/>
    </xf>
    <xf numFmtId="165" fontId="0" fillId="0" borderId="9" xfId="0" applyNumberFormat="1" applyBorder="1" applyAlignment="1">
      <alignment horizontal="left" vertical="center"/>
    </xf>
    <xf numFmtId="0" fontId="2" fillId="7" borderId="5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165" fontId="0" fillId="7" borderId="9" xfId="0" applyNumberFormat="1" applyFill="1" applyBorder="1" applyAlignment="1">
      <alignment horizontal="left" vertical="center"/>
    </xf>
    <xf numFmtId="0" fontId="2" fillId="7" borderId="11" xfId="0" applyFont="1" applyFill="1" applyBorder="1" applyAlignment="1">
      <alignment horizontal="center" vertical="center"/>
    </xf>
    <xf numFmtId="0" fontId="0" fillId="7" borderId="11" xfId="0" applyFill="1" applyBorder="1"/>
    <xf numFmtId="0" fontId="8" fillId="7" borderId="5" xfId="0" applyFont="1" applyFill="1" applyBorder="1" applyAlignment="1">
      <alignment horizontal="center" vertical="center"/>
    </xf>
    <xf numFmtId="165" fontId="0" fillId="7" borderId="19" xfId="0" applyNumberForma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8" fillId="0" borderId="12" xfId="0" applyFont="1" applyBorder="1" applyAlignment="1">
      <alignment horizontal="center"/>
    </xf>
    <xf numFmtId="0" fontId="13" fillId="0" borderId="0" xfId="0" applyFont="1"/>
    <xf numFmtId="0" fontId="8" fillId="9" borderId="5" xfId="0" applyFont="1" applyFill="1" applyBorder="1" applyAlignment="1">
      <alignment horizontal="center" vertical="center"/>
    </xf>
    <xf numFmtId="0" fontId="8" fillId="9" borderId="3" xfId="0" applyFont="1" applyFill="1" applyBorder="1" applyAlignment="1">
      <alignment horizontal="center" vertical="center"/>
    </xf>
    <xf numFmtId="0" fontId="8" fillId="9" borderId="14" xfId="0" applyFont="1" applyFill="1" applyBorder="1" applyAlignment="1">
      <alignment horizontal="center" vertical="center"/>
    </xf>
    <xf numFmtId="0" fontId="2" fillId="8" borderId="5" xfId="0" applyFont="1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15" fillId="5" borderId="5" xfId="0" applyFont="1" applyFill="1" applyBorder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14" fontId="1" fillId="0" borderId="12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0" fillId="5" borderId="16" xfId="0" applyFill="1" applyBorder="1"/>
    <xf numFmtId="0" fontId="2" fillId="0" borderId="0" xfId="0" applyFont="1"/>
    <xf numFmtId="0" fontId="6" fillId="0" borderId="0" xfId="0" applyFont="1"/>
    <xf numFmtId="0" fontId="2" fillId="0" borderId="0" xfId="0" applyFont="1" applyAlignment="1">
      <alignment vertical="center"/>
    </xf>
    <xf numFmtId="0" fontId="17" fillId="5" borderId="0" xfId="0" applyFont="1" applyFill="1" applyAlignment="1">
      <alignment horizontal="center" vertical="center"/>
    </xf>
    <xf numFmtId="0" fontId="12" fillId="0" borderId="0" xfId="0" applyFont="1"/>
    <xf numFmtId="0" fontId="18" fillId="0" borderId="0" xfId="0" applyFont="1" applyAlignment="1">
      <alignment horizontal="center" vertical="center"/>
    </xf>
    <xf numFmtId="0" fontId="19" fillId="0" borderId="12" xfId="0" applyFont="1" applyBorder="1" applyAlignment="1">
      <alignment horizontal="center"/>
    </xf>
    <xf numFmtId="0" fontId="19" fillId="0" borderId="3" xfId="0" applyFont="1" applyBorder="1"/>
    <xf numFmtId="0" fontId="19" fillId="7" borderId="5" xfId="0" applyFont="1" applyFill="1" applyBorder="1" applyAlignment="1">
      <alignment horizontal="center" vertical="center"/>
    </xf>
    <xf numFmtId="14" fontId="2" fillId="0" borderId="24" xfId="0" applyNumberFormat="1" applyFont="1" applyBorder="1" applyAlignment="1">
      <alignment horizontal="center" vertical="center"/>
    </xf>
    <xf numFmtId="0" fontId="0" fillId="7" borderId="14" xfId="0" applyFill="1" applyBorder="1"/>
    <xf numFmtId="0" fontId="13" fillId="7" borderId="14" xfId="0" applyFont="1" applyFill="1" applyBorder="1"/>
    <xf numFmtId="0" fontId="12" fillId="7" borderId="14" xfId="0" applyFont="1" applyFill="1" applyBorder="1"/>
    <xf numFmtId="0" fontId="2" fillId="7" borderId="14" xfId="0" applyFont="1" applyFill="1" applyBorder="1" applyAlignment="1">
      <alignment horizontal="center" vertical="center"/>
    </xf>
    <xf numFmtId="0" fontId="21" fillId="7" borderId="14" xfId="0" applyFont="1" applyFill="1" applyBorder="1" applyAlignment="1">
      <alignment horizontal="left" vertical="top"/>
    </xf>
    <xf numFmtId="0" fontId="21" fillId="7" borderId="3" xfId="0" applyFont="1" applyFill="1" applyBorder="1" applyAlignment="1">
      <alignment horizontal="left" vertical="top"/>
    </xf>
    <xf numFmtId="0" fontId="12" fillId="7" borderId="8" xfId="0" applyFont="1" applyFill="1" applyBorder="1" applyAlignment="1">
      <alignment horizontal="left" vertical="center" textRotation="255"/>
    </xf>
    <xf numFmtId="0" fontId="6" fillId="6" borderId="5" xfId="0" applyFont="1" applyFill="1" applyBorder="1"/>
    <xf numFmtId="0" fontId="0" fillId="4" borderId="5" xfId="0" applyFill="1" applyBorder="1"/>
    <xf numFmtId="0" fontId="0" fillId="10" borderId="5" xfId="0" applyFill="1" applyBorder="1"/>
    <xf numFmtId="0" fontId="0" fillId="11" borderId="5" xfId="0" applyFill="1" applyBorder="1"/>
    <xf numFmtId="165" fontId="0" fillId="0" borderId="0" xfId="0" applyNumberFormat="1"/>
    <xf numFmtId="14" fontId="0" fillId="0" borderId="0" xfId="0" applyNumberFormat="1"/>
    <xf numFmtId="14" fontId="1" fillId="0" borderId="0" xfId="0" applyNumberFormat="1" applyFont="1" applyAlignment="1">
      <alignment horizontal="center" vertical="center"/>
    </xf>
    <xf numFmtId="166" fontId="0" fillId="0" borderId="9" xfId="0" applyNumberFormat="1" applyBorder="1" applyAlignment="1">
      <alignment horizontal="left" vertical="center"/>
    </xf>
    <xf numFmtId="0" fontId="0" fillId="8" borderId="2" xfId="0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7" borderId="26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2" fillId="0" borderId="0" xfId="0" applyFont="1" applyAlignment="1">
      <alignment wrapText="1"/>
    </xf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167" fontId="0" fillId="0" borderId="0" xfId="0" applyNumberFormat="1"/>
    <xf numFmtId="0" fontId="0" fillId="0" borderId="34" xfId="0" applyBorder="1"/>
    <xf numFmtId="167" fontId="0" fillId="0" borderId="35" xfId="0" applyNumberFormat="1" applyBorder="1"/>
    <xf numFmtId="0" fontId="0" fillId="0" borderId="36" xfId="0" applyBorder="1"/>
    <xf numFmtId="2" fontId="0" fillId="0" borderId="31" xfId="0" applyNumberFormat="1" applyBorder="1"/>
    <xf numFmtId="0" fontId="0" fillId="0" borderId="7" xfId="0" applyBorder="1" applyAlignment="1">
      <alignment horizontal="left" vertical="center" wrapText="1"/>
    </xf>
    <xf numFmtId="0" fontId="0" fillId="8" borderId="2" xfId="0" applyFill="1" applyBorder="1" applyAlignment="1">
      <alignment horizontal="center" vertical="center" wrapText="1"/>
    </xf>
    <xf numFmtId="16" fontId="1" fillId="0" borderId="18" xfId="0" applyNumberFormat="1" applyFont="1" applyBorder="1" applyAlignment="1">
      <alignment horizontal="center" vertical="center"/>
    </xf>
    <xf numFmtId="0" fontId="2" fillId="0" borderId="12" xfId="0" applyFont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0" fillId="0" borderId="2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8" fillId="9" borderId="22" xfId="0" applyFont="1" applyFill="1" applyBorder="1" applyAlignment="1">
      <alignment horizontal="center"/>
    </xf>
    <xf numFmtId="0" fontId="8" fillId="9" borderId="23" xfId="0" applyFont="1" applyFill="1" applyBorder="1" applyAlignment="1">
      <alignment horizontal="center"/>
    </xf>
    <xf numFmtId="0" fontId="14" fillId="5" borderId="0" xfId="0" applyFont="1" applyFill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textRotation="90"/>
    </xf>
    <xf numFmtId="164" fontId="4" fillId="2" borderId="0" xfId="0" applyNumberFormat="1" applyFont="1" applyFill="1" applyAlignment="1">
      <alignment horizontal="center" textRotation="90"/>
    </xf>
    <xf numFmtId="164" fontId="4" fillId="2" borderId="5" xfId="0" applyNumberFormat="1" applyFont="1" applyFill="1" applyBorder="1" applyAlignment="1">
      <alignment horizontal="center" textRotation="90"/>
    </xf>
    <xf numFmtId="0" fontId="2" fillId="0" borderId="17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15" fillId="12" borderId="0" xfId="0" applyFont="1" applyFill="1" applyAlignment="1">
      <alignment horizontal="left" vertical="center"/>
    </xf>
    <xf numFmtId="0" fontId="8" fillId="9" borderId="6" xfId="0" applyFont="1" applyFill="1" applyBorder="1" applyAlignment="1">
      <alignment horizontal="center" vertical="center"/>
    </xf>
    <xf numFmtId="0" fontId="8" fillId="9" borderId="14" xfId="0" applyFont="1" applyFill="1" applyBorder="1" applyAlignment="1">
      <alignment horizontal="center" vertical="center"/>
    </xf>
    <xf numFmtId="0" fontId="8" fillId="9" borderId="3" xfId="0" applyFont="1" applyFill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wrapText="1"/>
    </xf>
    <xf numFmtId="0" fontId="9" fillId="5" borderId="0" xfId="0" applyFont="1" applyFill="1" applyAlignment="1">
      <alignment horizontal="center" vertical="center"/>
    </xf>
    <xf numFmtId="0" fontId="8" fillId="9" borderId="20" xfId="0" applyFont="1" applyFill="1" applyBorder="1" applyAlignment="1">
      <alignment horizontal="center" vertical="center"/>
    </xf>
    <xf numFmtId="0" fontId="8" fillId="9" borderId="21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3" xfId="0" applyBorder="1" applyAlignment="1">
      <alignment horizontal="center"/>
    </xf>
    <xf numFmtId="0" fontId="16" fillId="5" borderId="0" xfId="0" applyFont="1" applyFill="1" applyAlignment="1">
      <alignment horizontal="center" vertical="center"/>
    </xf>
  </cellXfs>
  <cellStyles count="2">
    <cellStyle name="Normal" xfId="0" builtinId="0"/>
    <cellStyle name="Pourcentage 2" xfId="1" xr:uid="{96266D42-8FFF-4CEA-9719-B14265AF08B4}"/>
  </cellStyles>
  <dxfs count="39">
    <dxf>
      <fill>
        <patternFill>
          <bgColor rgb="FF66FF66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  <border>
        <left/>
        <right/>
        <top/>
        <bottom/>
      </border>
    </dxf>
    <dxf>
      <fill>
        <patternFill>
          <bgColor rgb="FFFEFE00"/>
        </patternFill>
      </fill>
    </dxf>
    <dxf>
      <fill>
        <patternFill>
          <bgColor rgb="FF66FF66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  <border>
        <left/>
        <right/>
        <top/>
        <bottom/>
      </border>
    </dxf>
    <dxf>
      <fill>
        <patternFill>
          <bgColor rgb="FFFEFE0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C00000"/>
        </patternFill>
      </fill>
    </dxf>
    <dxf>
      <border>
        <left style="dashDot">
          <color theme="5" tint="-0.24994659260841701"/>
        </left>
        <right style="thin">
          <color theme="1"/>
        </right>
        <bottom style="thin">
          <color theme="2" tint="-9.9948118533890809E-2"/>
        </bottom>
        <vertical/>
        <horizontal/>
      </border>
    </dxf>
    <dxf>
      <fill>
        <patternFill patternType="none">
          <bgColor auto="1"/>
        </patternFill>
      </fill>
      <border>
        <left style="dashDotDot">
          <color theme="5" tint="-0.24994659260841701"/>
        </left>
        <right/>
      </border>
    </dxf>
    <dxf>
      <border>
        <left style="dashDotDot">
          <color theme="5" tint="-0.24994659260841701"/>
        </left>
        <right style="thin">
          <color theme="1"/>
        </right>
        <bottom style="thin">
          <color theme="2" tint="-9.9948118533890809E-2"/>
        </bottom>
        <vertical/>
        <horizontal/>
      </border>
    </dxf>
    <dxf>
      <fill>
        <patternFill>
          <bgColor rgb="FF002060"/>
        </patternFill>
      </fill>
      <border>
        <left/>
        <right/>
        <top/>
        <bottom/>
      </border>
    </dxf>
    <dxf>
      <fill>
        <patternFill patternType="lightUp">
          <fgColor rgb="FF3399FF"/>
        </patternFill>
      </fill>
    </dxf>
    <dxf>
      <fill>
        <patternFill>
          <bgColor rgb="FFFF4BE5"/>
        </patternFill>
      </fill>
    </dxf>
    <dxf>
      <border>
        <left/>
        <right style="thin">
          <color auto="1"/>
        </right>
        <top/>
        <bottom style="thin">
          <color theme="0" tint="-0.34998626667073579"/>
        </bottom>
        <vertical/>
        <horizontal/>
      </border>
    </dxf>
    <dxf>
      <fill>
        <patternFill>
          <bgColor rgb="FF00FFFF"/>
        </patternFill>
      </fill>
    </dxf>
    <dxf>
      <font>
        <color rgb="FF66FFFF"/>
      </font>
      <fill>
        <patternFill>
          <bgColor rgb="FF002060"/>
        </patternFill>
      </fill>
    </dxf>
    <dxf>
      <fill>
        <patternFill>
          <bgColor rgb="FFCCECFF"/>
        </patternFill>
      </fill>
    </dxf>
    <dxf>
      <fill>
        <patternFill>
          <bgColor rgb="FFCCFFFF"/>
        </patternFill>
      </fill>
    </dxf>
    <dxf>
      <fill>
        <patternFill>
          <bgColor rgb="FF66FFFF"/>
        </patternFill>
      </fill>
    </dxf>
    <dxf>
      <fill>
        <patternFill>
          <bgColor rgb="FF99CCFF"/>
        </patternFill>
      </fill>
    </dxf>
    <dxf>
      <fill>
        <patternFill>
          <bgColor rgb="FF3399FF"/>
        </patternFill>
      </fill>
    </dxf>
    <dxf>
      <fill>
        <patternFill>
          <bgColor rgb="FF66CCFF"/>
        </patternFill>
      </fill>
    </dxf>
    <dxf>
      <fill>
        <patternFill>
          <bgColor rgb="FF0066FF"/>
        </patternFill>
      </fill>
    </dxf>
    <dxf>
      <font>
        <color theme="0"/>
      </font>
      <fill>
        <patternFill>
          <bgColor rgb="FF0033CC"/>
        </patternFill>
      </fill>
    </dxf>
    <dxf>
      <font>
        <color theme="0"/>
      </font>
      <fill>
        <patternFill>
          <bgColor rgb="FF3366CC"/>
        </patternFill>
      </fill>
    </dxf>
    <dxf>
      <font>
        <color theme="0"/>
      </font>
      <fill>
        <patternFill>
          <bgColor rgb="FF003399"/>
        </patternFill>
      </fill>
    </dxf>
    <dxf>
      <font>
        <color theme="0"/>
      </font>
      <fill>
        <patternFill>
          <bgColor rgb="FF000099"/>
        </patternFill>
      </fill>
    </dxf>
    <dxf>
      <fill>
        <patternFill>
          <bgColor rgb="FFFF2DF5"/>
        </patternFill>
      </fill>
    </dxf>
    <dxf>
      <border>
        <bottom style="thin">
          <color theme="0" tint="-0.24994659260841701"/>
        </bottom>
        <vertical/>
        <horizontal/>
      </border>
    </dxf>
    <dxf>
      <fill>
        <patternFill>
          <bgColor rgb="FF002060"/>
        </patternFill>
      </fill>
    </dxf>
    <dxf>
      <fill>
        <patternFill>
          <bgColor rgb="FFFF0DF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1"/>
        </patternFill>
      </fill>
    </dxf>
  </dxfs>
  <tableStyles count="1" defaultTableStyle="TableStyleMedium2" defaultPivotStyle="PivotStyleLight16">
    <tableStyle name="noir" pivot="0" table="0" count="10" xr9:uid="{710341F4-1A87-4A18-9F0A-943AE3E24E74}">
      <tableStyleElement type="wholeTable" dxfId="38"/>
      <tableStyleElement type="headerRow" dxfId="37"/>
    </tableStyle>
  </tableStyles>
  <colors>
    <mruColors>
      <color rgb="FF0033CC"/>
      <color rgb="FF000099"/>
      <color rgb="FF00FFFF"/>
      <color rgb="FF00FFCC"/>
      <color rgb="FF009E8B"/>
      <color rgb="FF00E6CB"/>
      <color rgb="FF00EABD"/>
      <color rgb="FF00F6C7"/>
      <color rgb="FF003399"/>
      <color rgb="FF3366CC"/>
    </mruColors>
  </colors>
  <extLst>
    <ext xmlns:x14="http://schemas.microsoft.com/office/spreadsheetml/2009/9/main" uri="{46F421CA-312F-682f-3DD2-61675219B42D}">
      <x14:dxfs count="8">
        <dxf>
          <font>
            <color theme="0"/>
          </font>
          <fill>
            <patternFill>
              <fgColor theme="0" tint="-0.499984740745262"/>
              <bgColor theme="0" tint="-0.499984740745262"/>
            </patternFill>
          </fill>
        </dxf>
        <dxf>
          <font>
            <color theme="0"/>
          </font>
          <fill>
            <patternFill>
              <fgColor theme="4" tint="0.39994506668294322"/>
              <bgColor theme="4" tint="0.39994506668294322"/>
            </patternFill>
          </fill>
        </dxf>
        <dxf>
          <font>
            <color theme="0"/>
          </font>
          <fill>
            <patternFill>
              <bgColor theme="0" tint="-0.499984740745262"/>
            </patternFill>
          </fill>
        </dxf>
        <dxf>
          <font>
            <color theme="0"/>
          </font>
          <fill>
            <patternFill>
              <fgColor theme="4" tint="0.39994506668294322"/>
              <bgColor theme="4" tint="0.39994506668294322"/>
            </patternFill>
          </fill>
        </dxf>
        <dxf>
          <font>
            <color theme="0"/>
          </font>
          <fill>
            <patternFill>
              <fgColor rgb="FF3017ED"/>
            </patternFill>
          </fill>
        </dxf>
        <dxf>
          <font>
            <color theme="0"/>
          </font>
          <fill>
            <patternFill patternType="solid">
              <fgColor indexed="64"/>
              <bgColor rgb="FF0000FF"/>
            </patternFill>
          </fill>
        </dxf>
        <dxf>
          <font>
            <color theme="0"/>
          </font>
          <fill>
            <patternFill>
              <fgColor theme="0" tint="-0.499984740745262"/>
            </patternFill>
          </fill>
        </dxf>
        <dxf>
          <font>
            <color theme="0"/>
          </font>
          <fill>
            <patternFill>
              <fgColor rgb="FF3017ED"/>
              <bgColor theme="4" tint="0.3999450666829432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noir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0E-42FE-9983-4E9C7C1519D6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0E-42FE-9983-4E9C7C1519D6}"/>
              </c:ext>
            </c:extLst>
          </c:dPt>
          <c:dPt>
            <c:idx val="2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0E-42FE-9983-4E9C7C1519D6}"/>
              </c:ext>
            </c:extLst>
          </c:dPt>
          <c:dPt>
            <c:idx val="3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90E-42FE-9983-4E9C7C1519D6}"/>
              </c:ext>
            </c:extLst>
          </c:dPt>
          <c:val>
            <c:numRef>
              <c:f>Donnée!$N$5:$N$8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90E-42FE-9983-4E9C7C151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dPt>
            <c:idx val="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090E-42FE-9983-4E9C7C1519D6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090E-42FE-9983-4E9C7C1519D6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090E-42FE-9983-4E9C7C1519D6}"/>
              </c:ext>
            </c:extLst>
          </c:dPt>
          <c:val>
            <c:numRef>
              <c:f>Donnée!$N$17:$N$19</c:f>
              <c:numCache>
                <c:formatCode>General</c:formatCode>
                <c:ptCount val="3"/>
                <c:pt idx="0" formatCode="0.0">
                  <c:v>50</c:v>
                </c:pt>
                <c:pt idx="1">
                  <c:v>2</c:v>
                </c:pt>
                <c:pt idx="2" formatCode="0.0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90E-42FE-9983-4E9C7C151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8C9-4EB9-9964-479D7044BA5A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8C9-4EB9-9964-479D7044BA5A}"/>
              </c:ext>
            </c:extLst>
          </c:dPt>
          <c:dPt>
            <c:idx val="2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8C9-4EB9-9964-479D7044BA5A}"/>
              </c:ext>
            </c:extLst>
          </c:dPt>
          <c:dPt>
            <c:idx val="3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8C9-4EB9-9964-479D7044BA5A}"/>
              </c:ext>
            </c:extLst>
          </c:dPt>
          <c:val>
            <c:numRef>
              <c:f>Donnée!$N$5:$N$8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8C9-4EB9-9964-479D7044BA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dPt>
            <c:idx val="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D8C9-4EB9-9964-479D7044BA5A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D8C9-4EB9-9964-479D7044BA5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D8C9-4EB9-9964-479D7044BA5A}"/>
              </c:ext>
            </c:extLst>
          </c:dPt>
          <c:val>
            <c:numRef>
              <c:f>Donnée!$N$9:$N$11</c:f>
              <c:numCache>
                <c:formatCode>General</c:formatCode>
                <c:ptCount val="3"/>
                <c:pt idx="0" formatCode="0.0">
                  <c:v>100</c:v>
                </c:pt>
                <c:pt idx="1">
                  <c:v>2</c:v>
                </c:pt>
                <c:pt idx="2" formatCode="0.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8C9-4EB9-9964-479D7044BA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22" fmlaLink="$O$11" horiz="1" inc="5" max="300" page="10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72</xdr:col>
          <xdr:colOff>152400</xdr:colOff>
          <xdr:row>4</xdr:row>
          <xdr:rowOff>276225</xdr:rowOff>
        </xdr:from>
        <xdr:to>
          <xdr:col>76</xdr:col>
          <xdr:colOff>47625</xdr:colOff>
          <xdr:row>6</xdr:row>
          <xdr:rowOff>85725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77</xdr:col>
      <xdr:colOff>116633</xdr:colOff>
      <xdr:row>7</xdr:row>
      <xdr:rowOff>38877</xdr:rowOff>
    </xdr:from>
    <xdr:to>
      <xdr:col>84</xdr:col>
      <xdr:colOff>51054</xdr:colOff>
      <xdr:row>25</xdr:row>
      <xdr:rowOff>198178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C4595E15-1785-4D34-9D4F-0AD600F76278}"/>
            </a:ext>
          </a:extLst>
        </xdr:cNvPr>
        <xdr:cNvGrpSpPr/>
      </xdr:nvGrpSpPr>
      <xdr:grpSpPr>
        <a:xfrm>
          <a:off x="22375054" y="1680686"/>
          <a:ext cx="4759586" cy="5711374"/>
          <a:chOff x="8758885" y="1806453"/>
          <a:chExt cx="4726598" cy="2900363"/>
        </a:xfrm>
      </xdr:grpSpPr>
      <xdr:graphicFrame macro="">
        <xdr:nvGraphicFramePr>
          <xdr:cNvPr id="3" name="Graphique 2">
            <a:extLst>
              <a:ext uri="{FF2B5EF4-FFF2-40B4-BE49-F238E27FC236}">
                <a16:creationId xmlns:a16="http://schemas.microsoft.com/office/drawing/2014/main" id="{7A5DC25E-41FF-BE22-D7B3-06B036F1635E}"/>
              </a:ext>
            </a:extLst>
          </xdr:cNvPr>
          <xdr:cNvGraphicFramePr/>
        </xdr:nvGraphicFramePr>
        <xdr:xfrm>
          <a:off x="8758885" y="1806453"/>
          <a:ext cx="4726598" cy="29003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ZoneTexte 3">
            <a:extLst>
              <a:ext uri="{FF2B5EF4-FFF2-40B4-BE49-F238E27FC236}">
                <a16:creationId xmlns:a16="http://schemas.microsoft.com/office/drawing/2014/main" id="{7206963F-3426-7C8F-4EA1-EE9DF194D91D}"/>
              </a:ext>
            </a:extLst>
          </xdr:cNvPr>
          <xdr:cNvSpPr txBox="1"/>
        </xdr:nvSpPr>
        <xdr:spPr>
          <a:xfrm>
            <a:off x="9527044" y="3533042"/>
            <a:ext cx="3348404" cy="329712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1400" b="1"/>
              <a:t>indicateur retard</a:t>
            </a:r>
          </a:p>
          <a:p>
            <a:pPr algn="ctr"/>
            <a:endParaRPr lang="en-GB" sz="1400" b="1"/>
          </a:p>
        </xdr:txBody>
      </xdr:sp>
    </xdr:grpSp>
    <xdr:clientData/>
  </xdr:twoCellAnchor>
  <xdr:twoCellAnchor>
    <xdr:from>
      <xdr:col>77</xdr:col>
      <xdr:colOff>136071</xdr:colOff>
      <xdr:row>26</xdr:row>
      <xdr:rowOff>19439</xdr:rowOff>
    </xdr:from>
    <xdr:to>
      <xdr:col>84</xdr:col>
      <xdr:colOff>71011</xdr:colOff>
      <xdr:row>35</xdr:row>
      <xdr:rowOff>149193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658CCA20-910C-4315-8420-94CD72E80290}"/>
            </a:ext>
          </a:extLst>
        </xdr:cNvPr>
        <xdr:cNvGrpSpPr/>
      </xdr:nvGrpSpPr>
      <xdr:grpSpPr>
        <a:xfrm>
          <a:off x="22394492" y="7589307"/>
          <a:ext cx="4760105" cy="3074985"/>
          <a:chOff x="9334501" y="0"/>
          <a:chExt cx="4726598" cy="2900363"/>
        </a:xfrm>
      </xdr:grpSpPr>
      <xdr:grpSp>
        <xdr:nvGrpSpPr>
          <xdr:cNvPr id="6" name="Groupe 5">
            <a:extLst>
              <a:ext uri="{FF2B5EF4-FFF2-40B4-BE49-F238E27FC236}">
                <a16:creationId xmlns:a16="http://schemas.microsoft.com/office/drawing/2014/main" id="{C552D435-24D8-17B4-7826-E1FAF30B66D1}"/>
              </a:ext>
            </a:extLst>
          </xdr:cNvPr>
          <xdr:cNvGrpSpPr/>
        </xdr:nvGrpSpPr>
        <xdr:grpSpPr>
          <a:xfrm>
            <a:off x="9334501" y="0"/>
            <a:ext cx="4726598" cy="2900363"/>
            <a:chOff x="3456110" y="755772"/>
            <a:chExt cx="4726598" cy="2900363"/>
          </a:xfrm>
        </xdr:grpSpPr>
        <xdr:graphicFrame macro="">
          <xdr:nvGraphicFramePr>
            <xdr:cNvPr id="8" name="Graphique 7">
              <a:extLst>
                <a:ext uri="{FF2B5EF4-FFF2-40B4-BE49-F238E27FC236}">
                  <a16:creationId xmlns:a16="http://schemas.microsoft.com/office/drawing/2014/main" id="{BB7F3B0F-50CF-7612-B5AB-712768E62C6A}"/>
                </a:ext>
              </a:extLst>
            </xdr:cNvPr>
            <xdr:cNvGraphicFramePr/>
          </xdr:nvGraphicFramePr>
          <xdr:xfrm>
            <a:off x="3456110" y="755772"/>
            <a:ext cx="4726598" cy="2900363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sp macro="" textlink="">
          <xdr:nvSpPr>
            <xdr:cNvPr id="9" name="ZoneTexte 8">
              <a:extLst>
                <a:ext uri="{FF2B5EF4-FFF2-40B4-BE49-F238E27FC236}">
                  <a16:creationId xmlns:a16="http://schemas.microsoft.com/office/drawing/2014/main" id="{DB58263A-C9DF-46B8-FE57-B59A8DA98B35}"/>
                </a:ext>
              </a:extLst>
            </xdr:cNvPr>
            <xdr:cNvSpPr txBox="1"/>
          </xdr:nvSpPr>
          <xdr:spPr>
            <a:xfrm>
              <a:off x="4249615" y="2732942"/>
              <a:ext cx="3348404" cy="550625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1400" b="1"/>
                <a:t>Retard</a:t>
              </a:r>
              <a:r>
                <a:rPr lang="en-GB" sz="1400" b="1" baseline="0"/>
                <a:t> accumulé</a:t>
              </a:r>
              <a:endParaRPr lang="en-GB" sz="1400" b="1"/>
            </a:p>
          </xdr:txBody>
        </xdr:sp>
      </xdr:grpSp>
      <xdr:sp macro="" textlink="$N$9">
        <xdr:nvSpPr>
          <xdr:cNvPr id="7" name="ZoneTexte 6">
            <a:extLst>
              <a:ext uri="{FF2B5EF4-FFF2-40B4-BE49-F238E27FC236}">
                <a16:creationId xmlns:a16="http://schemas.microsoft.com/office/drawing/2014/main" id="{6D07422F-801C-43DD-1A6E-CC6E89909F97}"/>
              </a:ext>
            </a:extLst>
          </xdr:cNvPr>
          <xdr:cNvSpPr txBox="1"/>
        </xdr:nvSpPr>
        <xdr:spPr>
          <a:xfrm>
            <a:off x="11419009" y="1616319"/>
            <a:ext cx="649165" cy="256442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FF57A6E5-28FB-4C0B-AB8D-D161124EC552}" type="TxLink">
              <a:rPr lang="en-US" sz="1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 </a:t>
            </a:fld>
            <a:endParaRPr lang="en-GB" sz="1400" b="1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0.21594</cdr:x>
      <cdr:y>0.62612</cdr:y>
    </cdr:from>
    <cdr:to>
      <cdr:x>0.82514</cdr:x>
      <cdr:y>0.75243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4B17F34D-66CC-7761-8234-7987FF396EEB}"/>
            </a:ext>
          </a:extLst>
        </cdr:cNvPr>
        <cdr:cNvSpPr txBox="1"/>
      </cdr:nvSpPr>
      <cdr:spPr>
        <a:xfrm xmlns:a="http://schemas.openxmlformats.org/drawingml/2006/main">
          <a:off x="1020640" y="1815978"/>
          <a:ext cx="2879481" cy="3663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0.21594</cdr:x>
      <cdr:y>0.62612</cdr:y>
    </cdr:from>
    <cdr:to>
      <cdr:x>0.82514</cdr:x>
      <cdr:y>0.75243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4B17F34D-66CC-7761-8234-7987FF396EEB}"/>
            </a:ext>
          </a:extLst>
        </cdr:cNvPr>
        <cdr:cNvSpPr txBox="1"/>
      </cdr:nvSpPr>
      <cdr:spPr>
        <a:xfrm xmlns:a="http://schemas.openxmlformats.org/drawingml/2006/main">
          <a:off x="1020640" y="1815978"/>
          <a:ext cx="2879481" cy="3663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Documents%20and%20Settings\Richard\Mes%20documents\Mes%20documents\InterAliment\Charcuteries%20Gourmandes\Mes%20documents\EXCEL%207\Budget%202001\abud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La%20Trinitaine\Rendement%20surpoids%202017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bud"/>
      <sheetName val="Liste déroulantes"/>
    </sheetNames>
    <sheetDataSet>
      <sheetData sheetId="0">
        <row r="1">
          <cell r="A1" t="str">
            <v>010796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ARTICLE"/>
      <sheetName val="PR RECETTE"/>
      <sheetName val="BaseFamille"/>
      <sheetName val="FAB2016"/>
      <sheetName val="SURPOIDS"/>
      <sheetName val="TCD Hebdo"/>
      <sheetName val="TCD Mensuel"/>
      <sheetName val="TCD Global"/>
      <sheetName val="VALO GAIN-PERTE"/>
      <sheetName val="RECAP FAMILLE"/>
      <sheetName val="Suivi longuette GC"/>
      <sheetName val="Suivi QQ GC"/>
      <sheetName val="Suivi QQ GC  mois"/>
      <sheetName val="Suivi Bq GC"/>
      <sheetName val="Suivi Mini"/>
      <sheetName val="Feuil2"/>
    </sheetNames>
    <sheetDataSet>
      <sheetData sheetId="0" refreshError="1"/>
      <sheetData sheetId="1" refreshError="1"/>
      <sheetData sheetId="2">
        <row r="2">
          <cell r="B2" t="str">
            <v>250G</v>
          </cell>
        </row>
        <row r="3">
          <cell r="B3" t="str">
            <v>250G SA FLAN</v>
          </cell>
        </row>
        <row r="4">
          <cell r="B4" t="str">
            <v>250G PTIT DELI</v>
          </cell>
        </row>
        <row r="5">
          <cell r="B5" t="str">
            <v>250G AUCHAN</v>
          </cell>
        </row>
        <row r="6">
          <cell r="B6" t="str">
            <v>250G AV FLAN</v>
          </cell>
        </row>
        <row r="7">
          <cell r="B7" t="str">
            <v>500G 4/4 MARBRE</v>
          </cell>
        </row>
        <row r="8">
          <cell r="B8" t="str">
            <v>500G HUILE MARBRE</v>
          </cell>
        </row>
        <row r="9">
          <cell r="B9" t="str">
            <v>500G NATURE</v>
          </cell>
        </row>
        <row r="10">
          <cell r="B10" t="str">
            <v>500G AV FLAN</v>
          </cell>
        </row>
        <row r="11">
          <cell r="B11" t="str">
            <v>500G SANS FLAN</v>
          </cell>
        </row>
        <row r="12">
          <cell r="B12" t="str">
            <v>500G PTIT DELI</v>
          </cell>
        </row>
        <row r="13">
          <cell r="B13" t="str">
            <v>500G AUCHAN</v>
          </cell>
        </row>
        <row r="14">
          <cell r="B14" t="str">
            <v>500G DECLASS</v>
          </cell>
        </row>
        <row r="15">
          <cell r="B15" t="str">
            <v>600G</v>
          </cell>
        </row>
        <row r="16">
          <cell r="B16" t="str">
            <v>600G + FLAN</v>
          </cell>
        </row>
        <row r="17">
          <cell r="B17" t="str">
            <v>800G 4/4 AV FLAN</v>
          </cell>
        </row>
        <row r="18">
          <cell r="B18" t="str">
            <v>800G C AV FL</v>
          </cell>
        </row>
        <row r="19">
          <cell r="B19" t="str">
            <v>800G LONG</v>
          </cell>
        </row>
        <row r="20">
          <cell r="B20" t="str">
            <v>800G LONG + FLAN</v>
          </cell>
        </row>
        <row r="21">
          <cell r="B21" t="str">
            <v>800G 4/4 SANFLAN</v>
          </cell>
        </row>
        <row r="22">
          <cell r="B22" t="str">
            <v>800G HUILE SANFLAN</v>
          </cell>
        </row>
        <row r="23">
          <cell r="B23" t="str">
            <v>800G PTIT DELI</v>
          </cell>
        </row>
        <row r="24">
          <cell r="B24" t="str">
            <v>800G AUCHAN</v>
          </cell>
        </row>
        <row r="25">
          <cell r="B25" t="str">
            <v>800G DECLASS</v>
          </cell>
        </row>
        <row r="26">
          <cell r="B26" t="str">
            <v>900G</v>
          </cell>
        </row>
        <row r="27">
          <cell r="B27" t="str">
            <v>KILO 4/4</v>
          </cell>
        </row>
        <row r="28">
          <cell r="B28" t="str">
            <v>KILO HUILE</v>
          </cell>
        </row>
        <row r="29">
          <cell r="B29" t="str">
            <v>ETOIL 250G</v>
          </cell>
        </row>
        <row r="30">
          <cell r="B30" t="str">
            <v>ETOIL NAT CARREFOUR</v>
          </cell>
        </row>
        <row r="31">
          <cell r="B31" t="str">
            <v>ETOIL NAT DELHAIZE</v>
          </cell>
        </row>
        <row r="32">
          <cell r="B32" t="str">
            <v>ETOIL CHOC</v>
          </cell>
        </row>
        <row r="33">
          <cell r="B33" t="str">
            <v>ETOIL CHOC CARREFOUR</v>
          </cell>
        </row>
        <row r="34">
          <cell r="B34" t="str">
            <v>ETOIL CHOC DELHAIZE</v>
          </cell>
        </row>
        <row r="35">
          <cell r="B35" t="str">
            <v>ETOIL RAISIN</v>
          </cell>
        </row>
        <row r="36">
          <cell r="B36" t="str">
            <v>ETOIL RAISIN CARREFOUR</v>
          </cell>
        </row>
        <row r="37">
          <cell r="B37" t="str">
            <v>ETOIL RAISIN DELHAIZE</v>
          </cell>
        </row>
        <row r="38">
          <cell r="B38" t="str">
            <v>ETOILES 600G</v>
          </cell>
        </row>
        <row r="39">
          <cell r="B39" t="str">
            <v>ETOILES 800G</v>
          </cell>
        </row>
        <row r="40">
          <cell r="B40" t="str">
            <v>LONG MARBRE</v>
          </cell>
        </row>
        <row r="41">
          <cell r="B41" t="str">
            <v>LONG NATURE</v>
          </cell>
        </row>
        <row r="42">
          <cell r="B42" t="str">
            <v>LONG RAISIN</v>
          </cell>
        </row>
        <row r="43">
          <cell r="B43" t="str">
            <v>LONG ECO +</v>
          </cell>
        </row>
        <row r="44">
          <cell r="B44" t="str">
            <v>LONG POUCE</v>
          </cell>
        </row>
        <row r="45">
          <cell r="B45" t="str">
            <v>LONG PICO</v>
          </cell>
        </row>
        <row r="46">
          <cell r="B46" t="str">
            <v>LONG ERNEST</v>
          </cell>
        </row>
        <row r="47">
          <cell r="B47" t="str">
            <v>LONG MARBRE PICO</v>
          </cell>
        </row>
        <row r="48">
          <cell r="B48" t="str">
            <v>LONG RAISIN PICO</v>
          </cell>
        </row>
        <row r="49">
          <cell r="B49" t="str">
            <v>LONG DECLASSE</v>
          </cell>
        </row>
        <row r="50">
          <cell r="B50" t="str">
            <v>MADELEINES 200GR</v>
          </cell>
        </row>
        <row r="51">
          <cell r="B51" t="str">
            <v>MADELEINES 200GR CASINO</v>
          </cell>
        </row>
        <row r="52">
          <cell r="B52" t="str">
            <v>MADELEINES 200GR CARREFOUR</v>
          </cell>
        </row>
        <row r="53">
          <cell r="B53" t="str">
            <v>MADELEINES 200GR PROVERA</v>
          </cell>
        </row>
        <row r="54">
          <cell r="B54" t="str">
            <v>MADELEINES 200GR MARBREES</v>
          </cell>
        </row>
        <row r="55">
          <cell r="B55" t="str">
            <v>MADELEINES 250GR</v>
          </cell>
        </row>
        <row r="56">
          <cell r="B56" t="str">
            <v>MADELEINES 400GR</v>
          </cell>
        </row>
        <row r="57">
          <cell r="B57" t="str">
            <v>MADELEINES 500GR</v>
          </cell>
        </row>
        <row r="58">
          <cell r="B58" t="str">
            <v>MADELEINES 600GR</v>
          </cell>
        </row>
        <row r="59">
          <cell r="B59" t="str">
            <v>MADELEINES 700GR</v>
          </cell>
        </row>
        <row r="60">
          <cell r="B60" t="str">
            <v>MADELEINES 800GR</v>
          </cell>
        </row>
        <row r="61">
          <cell r="B61" t="str">
            <v>MADELEINES 900GR</v>
          </cell>
        </row>
        <row r="62">
          <cell r="B62" t="str">
            <v>MADELEINES KILO</v>
          </cell>
        </row>
        <row r="63">
          <cell r="B63" t="str">
            <v>MAD MOYENNES 250GR</v>
          </cell>
        </row>
        <row r="64">
          <cell r="B64" t="str">
            <v>MADELEINES IND 240GR</v>
          </cell>
        </row>
        <row r="65">
          <cell r="B65" t="str">
            <v>MADELEINES IND 250GR</v>
          </cell>
        </row>
        <row r="66">
          <cell r="B66" t="str">
            <v>MADELEINES IND 300GR</v>
          </cell>
        </row>
        <row r="67">
          <cell r="B67" t="str">
            <v>MADELEINES IND 400GR</v>
          </cell>
        </row>
        <row r="68">
          <cell r="B68" t="str">
            <v>MADELEINES IND 420GR</v>
          </cell>
        </row>
        <row r="69">
          <cell r="B69" t="str">
            <v>MADELEINES IND 500GR</v>
          </cell>
        </row>
        <row r="70">
          <cell r="B70" t="str">
            <v>MADELEINES IND 600GR</v>
          </cell>
        </row>
        <row r="71">
          <cell r="B71" t="str">
            <v>MADELEINES IND 800GR</v>
          </cell>
        </row>
        <row r="72">
          <cell r="B72" t="str">
            <v>MADELEINES IND 800GR EISMANN</v>
          </cell>
        </row>
        <row r="73">
          <cell r="B73" t="str">
            <v>MADELEINETTES KG</v>
          </cell>
        </row>
        <row r="74">
          <cell r="B74" t="str">
            <v>MADELEINETTES 85GR</v>
          </cell>
        </row>
        <row r="75">
          <cell r="B75" t="str">
            <v>MADELEINETTES 90GR</v>
          </cell>
        </row>
        <row r="76">
          <cell r="B76" t="str">
            <v>MADELEINETTES 100GR</v>
          </cell>
        </row>
        <row r="77">
          <cell r="B77" t="str">
            <v>MADELEINETTES 170GR</v>
          </cell>
        </row>
        <row r="78">
          <cell r="B78" t="str">
            <v>MADELEINETTES 200GR</v>
          </cell>
        </row>
        <row r="79">
          <cell r="B79" t="str">
            <v>MADELEINETTES 250GR</v>
          </cell>
        </row>
        <row r="80">
          <cell r="B80" t="str">
            <v>MADELEINETTES 300GR</v>
          </cell>
        </row>
        <row r="81">
          <cell r="B81" t="str">
            <v>MADELEINETTES 350GR</v>
          </cell>
        </row>
        <row r="82">
          <cell r="B82" t="str">
            <v>MADELEINETTES 400GR</v>
          </cell>
        </row>
        <row r="83">
          <cell r="B83" t="str">
            <v>MADELEINETTES 500GR</v>
          </cell>
        </row>
        <row r="84">
          <cell r="B84" t="str">
            <v>MADELEINETTES 600GR</v>
          </cell>
        </row>
        <row r="85">
          <cell r="B85" t="str">
            <v>MADELEINETTES 800GR</v>
          </cell>
        </row>
        <row r="86">
          <cell r="B86" t="str">
            <v>M/F FR EISMANN 720G</v>
          </cell>
        </row>
        <row r="87">
          <cell r="B87" t="str">
            <v>M/F PEPITES EISMANN 720G</v>
          </cell>
        </row>
        <row r="88">
          <cell r="B88" t="str">
            <v>M/F CIT 720</v>
          </cell>
        </row>
        <row r="89">
          <cell r="B89" t="str">
            <v>M/F F RO 720G</v>
          </cell>
        </row>
        <row r="90">
          <cell r="B90" t="str">
            <v>MINI CITRON 720G</v>
          </cell>
        </row>
        <row r="91">
          <cell r="B91" t="str">
            <v>MINI 1000G</v>
          </cell>
        </row>
        <row r="92">
          <cell r="B92" t="str">
            <v>CAISSETTE 720G</v>
          </cell>
        </row>
        <row r="93">
          <cell r="B93" t="str">
            <v>CAISSETTE 840G</v>
          </cell>
        </row>
        <row r="94">
          <cell r="B94" t="str">
            <v>MINI ASS 840G</v>
          </cell>
        </row>
        <row r="95">
          <cell r="B95" t="str">
            <v>MINI MARBRES 840G</v>
          </cell>
        </row>
        <row r="96">
          <cell r="B96" t="str">
            <v>FRUIT 840G</v>
          </cell>
        </row>
        <row r="97">
          <cell r="B97" t="str">
            <v>CAIS BLEUE 800G</v>
          </cell>
        </row>
        <row r="98">
          <cell r="B98" t="str">
            <v>MARBRE EISMANN 800G</v>
          </cell>
        </row>
        <row r="99">
          <cell r="B99" t="str">
            <v>ETUIS 150G</v>
          </cell>
        </row>
        <row r="100">
          <cell r="B100" t="str">
            <v>ETUIS 420G</v>
          </cell>
        </row>
        <row r="101">
          <cell r="B101" t="str">
            <v>MINI 350G</v>
          </cell>
        </row>
        <row r="102">
          <cell r="B102" t="str">
            <v>MINI 350G +10%</v>
          </cell>
        </row>
        <row r="103">
          <cell r="B103" t="str">
            <v>MINI 420G</v>
          </cell>
        </row>
        <row r="104">
          <cell r="B104" t="str">
            <v>MINI 500G</v>
          </cell>
        </row>
        <row r="105">
          <cell r="B105" t="str">
            <v>MINI 540G</v>
          </cell>
        </row>
        <row r="106">
          <cell r="B106" t="str">
            <v>MINI 600G</v>
          </cell>
        </row>
        <row r="107">
          <cell r="B107" t="str">
            <v>M/D 640G</v>
          </cell>
        </row>
        <row r="108">
          <cell r="B108" t="str">
            <v>MINI GALETTES 700G</v>
          </cell>
        </row>
        <row r="109">
          <cell r="B109" t="str">
            <v>GALETTES IND 600GR</v>
          </cell>
        </row>
        <row r="110">
          <cell r="B110" t="str">
            <v>GALETTES VRAC 700GR</v>
          </cell>
        </row>
        <row r="111">
          <cell r="B111" t="str">
            <v>GALETTES 665G CAISSETTE</v>
          </cell>
        </row>
        <row r="112">
          <cell r="B112" t="str">
            <v>PALETS 650GR</v>
          </cell>
        </row>
        <row r="113">
          <cell r="B113" t="str">
            <v>PALETS IND 500GR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4E13C-ECD4-4F9C-A8E6-1DB2B30D32BA}">
  <sheetPr codeName="Feuil1">
    <tabColor theme="8"/>
  </sheetPr>
  <dimension ref="A1:CD67"/>
  <sheetViews>
    <sheetView showGridLines="0" tabSelected="1" topLeftCell="A11" zoomScale="76" zoomScaleNormal="145" workbookViewId="0">
      <selection activeCell="E22" sqref="E22"/>
    </sheetView>
  </sheetViews>
  <sheetFormatPr baseColWidth="10" defaultRowHeight="15" outlineLevelRow="2" x14ac:dyDescent="0.25"/>
  <cols>
    <col min="1" max="1" width="6.140625" bestFit="1" customWidth="1"/>
    <col min="2" max="2" width="44.5703125" bestFit="1" customWidth="1"/>
    <col min="3" max="3" width="11.28515625" bestFit="1" customWidth="1"/>
    <col min="4" max="4" width="1.7109375" style="29" customWidth="1"/>
    <col min="5" max="5" width="15.28515625" bestFit="1" customWidth="1"/>
    <col min="6" max="6" width="1.7109375" style="44" customWidth="1"/>
    <col min="7" max="8" width="10.85546875" bestFit="1" customWidth="1"/>
    <col min="9" max="9" width="10.28515625" bestFit="1" customWidth="1"/>
    <col min="10" max="10" width="1.7109375" customWidth="1"/>
    <col min="11" max="11" width="6.28515625" bestFit="1" customWidth="1"/>
    <col min="12" max="12" width="10.7109375" bestFit="1" customWidth="1"/>
    <col min="13" max="13" width="10.28515625" bestFit="1" customWidth="1"/>
    <col min="14" max="14" width="1.7109375" customWidth="1"/>
    <col min="15" max="15" width="6.28515625" style="1" bestFit="1" customWidth="1"/>
    <col min="16" max="16" width="24.7109375" style="1" bestFit="1" customWidth="1"/>
    <col min="17" max="17" width="1.7109375" customWidth="1"/>
    <col min="18" max="77" width="2.7109375" customWidth="1"/>
    <col min="84" max="106" width="3.5703125" customWidth="1"/>
    <col min="107" max="123" width="2.28515625" customWidth="1"/>
  </cols>
  <sheetData>
    <row r="1" spans="1:82" x14ac:dyDescent="0.25">
      <c r="CD1" s="62"/>
    </row>
    <row r="2" spans="1:82" ht="26.25" x14ac:dyDescent="0.4">
      <c r="A2" s="10"/>
      <c r="B2" s="111" t="s">
        <v>40</v>
      </c>
      <c r="C2" s="111"/>
      <c r="D2" s="111"/>
      <c r="E2" s="111"/>
      <c r="F2" s="43"/>
      <c r="G2" s="14"/>
      <c r="H2" s="93" t="s">
        <v>52</v>
      </c>
      <c r="I2" s="93"/>
      <c r="J2" s="93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93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5"/>
      <c r="AH2" s="15"/>
      <c r="AI2" s="15"/>
      <c r="AJ2" s="117" t="s">
        <v>31</v>
      </c>
      <c r="AK2" s="117"/>
      <c r="AL2" s="117"/>
      <c r="AM2" s="117"/>
      <c r="AN2" s="117"/>
      <c r="AO2" s="117"/>
      <c r="AP2" s="117"/>
      <c r="AQ2" s="117"/>
      <c r="AR2" s="117"/>
      <c r="AS2" s="117"/>
      <c r="AT2" s="117"/>
      <c r="AU2" s="117"/>
      <c r="AV2" s="117"/>
      <c r="AW2" s="117"/>
      <c r="AX2" s="117"/>
      <c r="AY2" s="117"/>
      <c r="AZ2" s="117"/>
      <c r="BA2" s="117"/>
      <c r="BB2" s="117"/>
      <c r="BC2" s="117"/>
      <c r="BD2" s="117"/>
      <c r="BE2" s="117"/>
      <c r="BF2" s="117"/>
      <c r="BG2" s="117"/>
      <c r="BH2" s="117"/>
      <c r="BI2" s="117"/>
      <c r="BJ2" s="117"/>
      <c r="BK2" s="117"/>
      <c r="BL2" s="117"/>
      <c r="BM2" s="117"/>
      <c r="BN2" s="117"/>
      <c r="BO2" s="117"/>
      <c r="BP2" s="117"/>
      <c r="BQ2" s="117"/>
      <c r="BR2" s="117"/>
      <c r="BS2" s="117"/>
      <c r="BT2" s="117"/>
      <c r="BU2" s="117"/>
      <c r="BV2" s="117"/>
      <c r="BW2" s="117"/>
      <c r="BX2" s="117"/>
      <c r="BY2" s="117"/>
    </row>
    <row r="3" spans="1:82" ht="26.25" x14ac:dyDescent="0.4">
      <c r="A3" s="10"/>
      <c r="B3" s="111"/>
      <c r="C3" s="111"/>
      <c r="D3" s="111"/>
      <c r="E3" s="111"/>
      <c r="F3" s="43"/>
      <c r="G3" s="14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3"/>
      <c r="V3" s="93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5"/>
      <c r="AH3" s="15"/>
      <c r="AI3" s="15"/>
      <c r="AJ3" s="117"/>
      <c r="AK3" s="117"/>
      <c r="AL3" s="117"/>
      <c r="AM3" s="117"/>
      <c r="AN3" s="117"/>
      <c r="AO3" s="117"/>
      <c r="AP3" s="117"/>
      <c r="AQ3" s="117"/>
      <c r="AR3" s="117"/>
      <c r="AS3" s="117"/>
      <c r="AT3" s="117"/>
      <c r="AU3" s="117"/>
      <c r="AV3" s="117"/>
      <c r="AW3" s="117"/>
      <c r="AX3" s="117"/>
      <c r="AY3" s="117"/>
      <c r="AZ3" s="117"/>
      <c r="BA3" s="117"/>
      <c r="BB3" s="117"/>
      <c r="BC3" s="117"/>
      <c r="BD3" s="117"/>
      <c r="BE3" s="117"/>
      <c r="BF3" s="117"/>
      <c r="BG3" s="117"/>
      <c r="BH3" s="117"/>
      <c r="BI3" s="117"/>
      <c r="BJ3" s="117"/>
      <c r="BK3" s="117"/>
      <c r="BL3" s="117"/>
      <c r="BM3" s="117"/>
      <c r="BN3" s="117"/>
      <c r="BO3" s="117"/>
      <c r="BP3" s="117"/>
      <c r="BQ3" s="117"/>
      <c r="BR3" s="117"/>
      <c r="BS3" s="117"/>
      <c r="BT3" s="117"/>
      <c r="BU3" s="117"/>
      <c r="BV3" s="117"/>
      <c r="BW3" s="117"/>
      <c r="BX3" s="117"/>
      <c r="BY3" s="117"/>
    </row>
    <row r="4" spans="1:82" x14ac:dyDescent="0.25">
      <c r="B4" s="12"/>
      <c r="R4" s="13"/>
      <c r="S4" s="13"/>
      <c r="T4" s="13"/>
      <c r="U4" s="13"/>
      <c r="V4" s="13"/>
      <c r="W4" s="13"/>
      <c r="X4" s="13"/>
      <c r="Y4" s="13"/>
      <c r="Z4" s="13"/>
      <c r="AA4" s="87" t="s">
        <v>20</v>
      </c>
      <c r="AB4" s="87"/>
      <c r="AC4" s="87"/>
      <c r="AD4" s="87"/>
      <c r="AE4" s="87" t="s">
        <v>21</v>
      </c>
      <c r="AF4" s="87"/>
      <c r="AG4" s="87"/>
      <c r="AH4" s="87"/>
      <c r="AI4" s="87"/>
      <c r="AJ4" s="87"/>
      <c r="BR4" s="71"/>
      <c r="BS4" s="71"/>
      <c r="BT4" s="71"/>
      <c r="BU4" s="71"/>
      <c r="BV4" s="71"/>
      <c r="BW4" s="71"/>
      <c r="BX4" s="71"/>
    </row>
    <row r="5" spans="1:82" ht="15.75" x14ac:dyDescent="0.25">
      <c r="B5" s="104" t="s">
        <v>32</v>
      </c>
      <c r="C5" s="105"/>
      <c r="D5" s="27"/>
      <c r="E5" s="11"/>
      <c r="F5" s="45"/>
      <c r="R5" s="88" t="s">
        <v>16</v>
      </c>
      <c r="S5" s="88"/>
      <c r="T5" s="88"/>
      <c r="U5" s="88"/>
      <c r="V5" s="88"/>
      <c r="W5" s="88"/>
      <c r="X5" s="88"/>
      <c r="Y5" s="88"/>
      <c r="Z5" s="88"/>
      <c r="AA5" s="108" t="s">
        <v>19</v>
      </c>
      <c r="AB5" s="108"/>
      <c r="AC5" s="108"/>
      <c r="AD5" s="108"/>
      <c r="AE5" s="108"/>
      <c r="AF5" s="108"/>
      <c r="AG5" s="108"/>
      <c r="AH5" s="108"/>
      <c r="AI5" s="108"/>
      <c r="AJ5" s="108"/>
      <c r="AK5" s="42"/>
      <c r="AN5" s="109"/>
      <c r="AO5" s="109"/>
      <c r="AP5" s="109"/>
      <c r="AQ5" s="109"/>
      <c r="AR5" s="109"/>
      <c r="AS5" s="109"/>
      <c r="AT5" s="109"/>
      <c r="AU5" s="109"/>
      <c r="AV5" s="109"/>
      <c r="AW5" s="109"/>
      <c r="AX5" s="109"/>
      <c r="AY5" s="109"/>
      <c r="AZ5" s="109"/>
      <c r="BA5" s="109"/>
      <c r="BB5" s="109"/>
      <c r="BC5" s="109"/>
      <c r="BD5" s="109"/>
      <c r="BE5" s="109"/>
      <c r="BF5" s="109"/>
      <c r="BG5" s="109"/>
      <c r="BH5" s="109"/>
      <c r="BI5" s="109"/>
      <c r="BJ5" s="109"/>
      <c r="BK5" s="109"/>
      <c r="BL5" s="109"/>
      <c r="BM5" s="109"/>
      <c r="BQ5" s="110" t="s">
        <v>53</v>
      </c>
      <c r="BR5" s="110"/>
      <c r="BS5" s="110"/>
      <c r="BT5" s="110"/>
      <c r="BU5" s="110"/>
      <c r="BV5" s="110"/>
      <c r="BW5" s="110"/>
      <c r="BX5" s="110"/>
    </row>
    <row r="6" spans="1:82" ht="15.75" x14ac:dyDescent="0.25">
      <c r="B6" s="106" t="s">
        <v>0</v>
      </c>
      <c r="C6" s="107"/>
      <c r="D6" s="27"/>
      <c r="E6" s="11"/>
      <c r="F6" s="45"/>
      <c r="R6" s="88" t="s">
        <v>24</v>
      </c>
      <c r="S6" s="88"/>
      <c r="T6" s="88"/>
      <c r="U6" s="88"/>
      <c r="V6" s="88"/>
      <c r="W6" s="88"/>
      <c r="X6" s="88"/>
      <c r="Y6" s="88"/>
      <c r="Z6" s="88"/>
      <c r="AA6" s="89"/>
      <c r="AB6" s="89"/>
      <c r="AC6" s="89"/>
      <c r="AD6" s="89"/>
      <c r="AE6" s="89"/>
      <c r="BP6" s="88" t="s">
        <v>54</v>
      </c>
      <c r="BQ6" s="88"/>
      <c r="BR6" s="88"/>
      <c r="BS6" s="88"/>
      <c r="BT6" s="88">
        <f>$O$11/5</f>
        <v>0</v>
      </c>
      <c r="BU6" s="88"/>
    </row>
    <row r="7" spans="1:82" x14ac:dyDescent="0.25">
      <c r="B7" s="12"/>
    </row>
    <row r="8" spans="1:82" x14ac:dyDescent="0.25">
      <c r="B8" s="97" t="s">
        <v>15</v>
      </c>
      <c r="C8" s="87"/>
      <c r="D8" s="28"/>
      <c r="E8" s="7"/>
      <c r="F8" s="46"/>
      <c r="G8" s="49">
        <v>45566</v>
      </c>
      <c r="H8" s="37">
        <f>IF(WEEKDAY(G8,2)=1,G8,G8-WEEKDAY(G8,2)+1)</f>
        <v>45565</v>
      </c>
      <c r="I8" s="63"/>
      <c r="J8" s="3"/>
      <c r="K8" s="3"/>
      <c r="L8" s="1"/>
      <c r="M8" s="1"/>
      <c r="N8" s="1"/>
      <c r="P8" s="2"/>
      <c r="Q8" s="67"/>
      <c r="R8" s="90" t="str">
        <f>IF(R12="L",TEXT(R9,"mmm"),"")</f>
        <v>sept</v>
      </c>
      <c r="S8" s="90"/>
      <c r="T8" s="90"/>
      <c r="U8" s="90"/>
      <c r="V8" s="98"/>
      <c r="W8" s="90" t="str">
        <f t="shared" ref="W8" si="0">IF(W12="L",TEXT(W9,"mmm"),"")</f>
        <v>oct</v>
      </c>
      <c r="X8" s="90"/>
      <c r="Y8" s="90"/>
      <c r="Z8" s="90"/>
      <c r="AA8" s="90"/>
      <c r="AB8" s="90" t="str">
        <f t="shared" ref="AB8" si="1">IF(AB12="L",TEXT(AB9,"mmm"),"")</f>
        <v>oct</v>
      </c>
      <c r="AC8" s="90"/>
      <c r="AD8" s="90"/>
      <c r="AE8" s="90"/>
      <c r="AF8" s="90"/>
      <c r="AG8" s="90" t="str">
        <f t="shared" ref="AG8" si="2">IF(AG12="L",TEXT(AG9,"mmm"),"")</f>
        <v>oct</v>
      </c>
      <c r="AH8" s="90"/>
      <c r="AI8" s="90"/>
      <c r="AJ8" s="90"/>
      <c r="AK8" s="90"/>
      <c r="AL8" s="90" t="str">
        <f t="shared" ref="AL8" si="3">IF(AL12="L",TEXT(AL9,"mmm"),"")</f>
        <v>oct</v>
      </c>
      <c r="AM8" s="90"/>
      <c r="AN8" s="90"/>
      <c r="AO8" s="90"/>
      <c r="AP8" s="90"/>
      <c r="AQ8" s="90" t="str">
        <f t="shared" ref="AQ8" si="4">IF(AQ12="L",TEXT(AQ9,"mmm"),"")</f>
        <v>nov</v>
      </c>
      <c r="AR8" s="90"/>
      <c r="AS8" s="90"/>
      <c r="AT8" s="90"/>
      <c r="AU8" s="90"/>
      <c r="AV8" s="90" t="str">
        <f t="shared" ref="AV8" si="5">IF(AV12="L",TEXT(AV9,"mmm"),"")</f>
        <v>nov</v>
      </c>
      <c r="AW8" s="90"/>
      <c r="AX8" s="90"/>
      <c r="AY8" s="90"/>
      <c r="AZ8" s="90"/>
      <c r="BA8" s="90" t="str">
        <f t="shared" ref="BA8" si="6">IF(BA12="L",TEXT(BA9,"mmm"),"")</f>
        <v>nov</v>
      </c>
      <c r="BB8" s="90"/>
      <c r="BC8" s="90"/>
      <c r="BD8" s="90"/>
      <c r="BE8" s="90"/>
      <c r="BF8" s="114" t="str">
        <f t="shared" ref="BF8" si="7">IF(BF12="L",TEXT(BF9,"mmm"),"")</f>
        <v>nov</v>
      </c>
      <c r="BG8" s="115"/>
      <c r="BH8" s="115"/>
      <c r="BI8" s="115"/>
      <c r="BJ8" s="116"/>
      <c r="BK8" s="90" t="str">
        <f t="shared" ref="BK8" si="8">IF(BK12="L",TEXT(BK9,"mmm"),"")</f>
        <v>déc</v>
      </c>
      <c r="BL8" s="90"/>
      <c r="BM8" s="90"/>
      <c r="BN8" s="90"/>
      <c r="BO8" s="90"/>
      <c r="BP8" s="90" t="str">
        <f t="shared" ref="BP8" si="9">IF(BP12="L",TEXT(BP9,"mmm"),"")</f>
        <v>déc</v>
      </c>
      <c r="BQ8" s="90"/>
      <c r="BR8" s="90"/>
      <c r="BS8" s="90"/>
      <c r="BT8" s="90"/>
      <c r="BU8" s="90" t="str">
        <f t="shared" ref="BU8" si="10">IF(BU12="L",TEXT(BU9,"mmm"),"")</f>
        <v>déc</v>
      </c>
      <c r="BV8" s="90"/>
      <c r="BW8" s="90"/>
      <c r="BX8" s="90"/>
      <c r="BY8" s="90"/>
    </row>
    <row r="9" spans="1:82" x14ac:dyDescent="0.25">
      <c r="G9" s="1"/>
      <c r="H9" s="1"/>
      <c r="I9" s="1"/>
      <c r="J9" s="1"/>
      <c r="K9" s="1"/>
      <c r="L9" s="1"/>
      <c r="M9" s="1"/>
      <c r="N9" s="1"/>
      <c r="P9" s="2"/>
      <c r="Q9" s="68"/>
      <c r="R9" s="94">
        <f>WORKDAY(H8,O11,)</f>
        <v>45565</v>
      </c>
      <c r="S9" s="94">
        <f>WORKDAY(R9,1)</f>
        <v>45566</v>
      </c>
      <c r="T9" s="94">
        <f t="shared" ref="T9:BO9" si="11">WORKDAY(S9,1)</f>
        <v>45567</v>
      </c>
      <c r="U9" s="94">
        <f t="shared" si="11"/>
        <v>45568</v>
      </c>
      <c r="V9" s="96">
        <f t="shared" si="11"/>
        <v>45569</v>
      </c>
      <c r="W9" s="94">
        <f t="shared" si="11"/>
        <v>45572</v>
      </c>
      <c r="X9" s="94">
        <f t="shared" si="11"/>
        <v>45573</v>
      </c>
      <c r="Y9" s="94">
        <f t="shared" si="11"/>
        <v>45574</v>
      </c>
      <c r="Z9" s="94">
        <f t="shared" si="11"/>
        <v>45575</v>
      </c>
      <c r="AA9" s="94">
        <f t="shared" si="11"/>
        <v>45576</v>
      </c>
      <c r="AB9" s="94">
        <f t="shared" si="11"/>
        <v>45579</v>
      </c>
      <c r="AC9" s="94">
        <f t="shared" si="11"/>
        <v>45580</v>
      </c>
      <c r="AD9" s="94">
        <f t="shared" si="11"/>
        <v>45581</v>
      </c>
      <c r="AE9" s="94">
        <f t="shared" si="11"/>
        <v>45582</v>
      </c>
      <c r="AF9" s="94">
        <f t="shared" si="11"/>
        <v>45583</v>
      </c>
      <c r="AG9" s="94">
        <f t="shared" si="11"/>
        <v>45586</v>
      </c>
      <c r="AH9" s="94">
        <f t="shared" si="11"/>
        <v>45587</v>
      </c>
      <c r="AI9" s="94">
        <f t="shared" si="11"/>
        <v>45588</v>
      </c>
      <c r="AJ9" s="94">
        <f t="shared" si="11"/>
        <v>45589</v>
      </c>
      <c r="AK9" s="94">
        <f t="shared" si="11"/>
        <v>45590</v>
      </c>
      <c r="AL9" s="94">
        <f t="shared" si="11"/>
        <v>45593</v>
      </c>
      <c r="AM9" s="94">
        <f t="shared" si="11"/>
        <v>45594</v>
      </c>
      <c r="AN9" s="94">
        <f t="shared" si="11"/>
        <v>45595</v>
      </c>
      <c r="AO9" s="94">
        <f t="shared" si="11"/>
        <v>45596</v>
      </c>
      <c r="AP9" s="94">
        <f t="shared" si="11"/>
        <v>45597</v>
      </c>
      <c r="AQ9" s="94">
        <f t="shared" si="11"/>
        <v>45600</v>
      </c>
      <c r="AR9" s="94">
        <f t="shared" si="11"/>
        <v>45601</v>
      </c>
      <c r="AS9" s="94">
        <f t="shared" si="11"/>
        <v>45602</v>
      </c>
      <c r="AT9" s="94">
        <f t="shared" si="11"/>
        <v>45603</v>
      </c>
      <c r="AU9" s="94">
        <f t="shared" si="11"/>
        <v>45604</v>
      </c>
      <c r="AV9" s="94">
        <f t="shared" si="11"/>
        <v>45607</v>
      </c>
      <c r="AW9" s="94">
        <f t="shared" si="11"/>
        <v>45608</v>
      </c>
      <c r="AX9" s="94">
        <f t="shared" si="11"/>
        <v>45609</v>
      </c>
      <c r="AY9" s="94">
        <f t="shared" si="11"/>
        <v>45610</v>
      </c>
      <c r="AZ9" s="94">
        <f t="shared" si="11"/>
        <v>45611</v>
      </c>
      <c r="BA9" s="94">
        <f t="shared" si="11"/>
        <v>45614</v>
      </c>
      <c r="BB9" s="94">
        <f t="shared" si="11"/>
        <v>45615</v>
      </c>
      <c r="BC9" s="94">
        <f t="shared" si="11"/>
        <v>45616</v>
      </c>
      <c r="BD9" s="94">
        <f t="shared" si="11"/>
        <v>45617</v>
      </c>
      <c r="BE9" s="94">
        <f t="shared" si="11"/>
        <v>45618</v>
      </c>
      <c r="BF9" s="94">
        <f>WORKDAY(BE9,1)</f>
        <v>45621</v>
      </c>
      <c r="BG9" s="94">
        <f t="shared" si="11"/>
        <v>45622</v>
      </c>
      <c r="BH9" s="94">
        <f t="shared" si="11"/>
        <v>45623</v>
      </c>
      <c r="BI9" s="94">
        <f t="shared" si="11"/>
        <v>45624</v>
      </c>
      <c r="BJ9" s="94">
        <f t="shared" si="11"/>
        <v>45625</v>
      </c>
      <c r="BK9" s="94">
        <f t="shared" si="11"/>
        <v>45628</v>
      </c>
      <c r="BL9" s="94">
        <f t="shared" si="11"/>
        <v>45629</v>
      </c>
      <c r="BM9" s="94">
        <f t="shared" si="11"/>
        <v>45630</v>
      </c>
      <c r="BN9" s="94">
        <f t="shared" si="11"/>
        <v>45631</v>
      </c>
      <c r="BO9" s="94">
        <f t="shared" si="11"/>
        <v>45632</v>
      </c>
      <c r="BP9" s="94">
        <f t="shared" ref="BP9" si="12">WORKDAY(BO9,1)</f>
        <v>45635</v>
      </c>
      <c r="BQ9" s="94">
        <f t="shared" ref="BQ9" si="13">WORKDAY(BP9,1)</f>
        <v>45636</v>
      </c>
      <c r="BR9" s="94">
        <f t="shared" ref="BR9" si="14">WORKDAY(BQ9,1)</f>
        <v>45637</v>
      </c>
      <c r="BS9" s="94">
        <f t="shared" ref="BS9" si="15">WORKDAY(BR9,1)</f>
        <v>45638</v>
      </c>
      <c r="BT9" s="94">
        <f t="shared" ref="BT9" si="16">WORKDAY(BS9,1)</f>
        <v>45639</v>
      </c>
      <c r="BU9" s="94">
        <f t="shared" ref="BU9" si="17">WORKDAY(BT9,1)</f>
        <v>45642</v>
      </c>
      <c r="BV9" s="94">
        <f t="shared" ref="BV9" si="18">WORKDAY(BU9,1)</f>
        <v>45643</v>
      </c>
      <c r="BW9" s="94">
        <f t="shared" ref="BW9" si="19">WORKDAY(BV9,1)</f>
        <v>45644</v>
      </c>
      <c r="BX9" s="94">
        <f t="shared" ref="BX9" si="20">WORKDAY(BW9,1)</f>
        <v>45645</v>
      </c>
      <c r="BY9" s="94">
        <f t="shared" ref="BY9" si="21">WORKDAY(BX9,1)</f>
        <v>45646</v>
      </c>
    </row>
    <row r="10" spans="1:82" x14ac:dyDescent="0.25">
      <c r="B10" s="70"/>
      <c r="C10" s="100"/>
      <c r="D10" s="100"/>
      <c r="E10" s="100"/>
      <c r="F10" s="100"/>
      <c r="G10" s="100"/>
      <c r="H10" s="100"/>
      <c r="I10" s="100"/>
      <c r="J10" s="100"/>
      <c r="K10" s="100"/>
      <c r="L10" s="100"/>
      <c r="M10" s="100"/>
      <c r="N10" s="69"/>
      <c r="O10" s="69"/>
      <c r="P10" s="2"/>
      <c r="Q10" s="68"/>
      <c r="R10" s="95"/>
      <c r="S10" s="95"/>
      <c r="T10" s="95"/>
      <c r="U10" s="95"/>
      <c r="V10" s="96"/>
      <c r="W10" s="95"/>
      <c r="X10" s="95"/>
      <c r="Y10" s="95"/>
      <c r="Z10" s="95"/>
      <c r="AA10" s="95"/>
      <c r="AB10" s="95"/>
      <c r="AC10" s="95"/>
      <c r="AD10" s="95"/>
      <c r="AE10" s="95"/>
      <c r="AF10" s="95"/>
      <c r="AG10" s="95"/>
      <c r="AH10" s="95"/>
      <c r="AI10" s="95"/>
      <c r="AJ10" s="95"/>
      <c r="AK10" s="95"/>
      <c r="AL10" s="95"/>
      <c r="AM10" s="95"/>
      <c r="AN10" s="95"/>
      <c r="AO10" s="95"/>
      <c r="AP10" s="95"/>
      <c r="AQ10" s="95"/>
      <c r="AR10" s="95"/>
      <c r="AS10" s="95"/>
      <c r="AT10" s="95"/>
      <c r="AU10" s="95"/>
      <c r="AV10" s="95"/>
      <c r="AW10" s="95"/>
      <c r="AX10" s="95"/>
      <c r="AY10" s="95"/>
      <c r="AZ10" s="95"/>
      <c r="BA10" s="95"/>
      <c r="BB10" s="95"/>
      <c r="BC10" s="95"/>
      <c r="BD10" s="95"/>
      <c r="BE10" s="95"/>
      <c r="BF10" s="95"/>
      <c r="BG10" s="95"/>
      <c r="BH10" s="95"/>
      <c r="BI10" s="95"/>
      <c r="BJ10" s="95"/>
      <c r="BK10" s="95"/>
      <c r="BL10" s="95"/>
      <c r="BM10" s="95"/>
      <c r="BN10" s="95"/>
      <c r="BO10" s="95"/>
      <c r="BP10" s="95"/>
      <c r="BQ10" s="95"/>
      <c r="BR10" s="95"/>
      <c r="BS10" s="95"/>
      <c r="BT10" s="95"/>
      <c r="BU10" s="95"/>
      <c r="BV10" s="95"/>
      <c r="BW10" s="95"/>
      <c r="BX10" s="95"/>
      <c r="BY10" s="95"/>
    </row>
    <row r="11" spans="1:82" x14ac:dyDescent="0.25">
      <c r="B11" s="41"/>
      <c r="G11" s="1"/>
      <c r="H11" s="1"/>
      <c r="I11" s="1"/>
      <c r="J11" s="1"/>
      <c r="K11" s="1"/>
      <c r="L11" s="5"/>
      <c r="M11" s="1"/>
      <c r="N11" s="1"/>
      <c r="O11" s="66">
        <v>0</v>
      </c>
      <c r="P11" s="8"/>
      <c r="Q11" s="68"/>
      <c r="R11" s="95"/>
      <c r="S11" s="95"/>
      <c r="T11" s="95"/>
      <c r="U11" s="95"/>
      <c r="V11" s="96"/>
      <c r="W11" s="95"/>
      <c r="X11" s="95"/>
      <c r="Y11" s="95"/>
      <c r="Z11" s="95"/>
      <c r="AA11" s="95"/>
      <c r="AB11" s="95"/>
      <c r="AC11" s="95"/>
      <c r="AD11" s="95"/>
      <c r="AE11" s="95"/>
      <c r="AF11" s="95"/>
      <c r="AG11" s="95"/>
      <c r="AH11" s="95"/>
      <c r="AI11" s="95"/>
      <c r="AJ11" s="95"/>
      <c r="AK11" s="95"/>
      <c r="AL11" s="95"/>
      <c r="AM11" s="95"/>
      <c r="AN11" s="95"/>
      <c r="AO11" s="95"/>
      <c r="AP11" s="95"/>
      <c r="AQ11" s="95"/>
      <c r="AR11" s="95"/>
      <c r="AS11" s="95"/>
      <c r="AT11" s="95"/>
      <c r="AU11" s="95"/>
      <c r="AV11" s="95"/>
      <c r="AW11" s="95"/>
      <c r="AX11" s="95"/>
      <c r="AY11" s="95"/>
      <c r="AZ11" s="95"/>
      <c r="BA11" s="95"/>
      <c r="BB11" s="95"/>
      <c r="BC11" s="95"/>
      <c r="BD11" s="95"/>
      <c r="BE11" s="95"/>
      <c r="BF11" s="95"/>
      <c r="BG11" s="95"/>
      <c r="BH11" s="95"/>
      <c r="BI11" s="95"/>
      <c r="BJ11" s="95"/>
      <c r="BK11" s="95"/>
      <c r="BL11" s="95"/>
      <c r="BM11" s="95"/>
      <c r="BN11" s="95"/>
      <c r="BO11" s="95"/>
      <c r="BP11" s="95"/>
      <c r="BQ11" s="95"/>
      <c r="BR11" s="95"/>
      <c r="BS11" s="95"/>
      <c r="BT11" s="95"/>
      <c r="BU11" s="95"/>
      <c r="BV11" s="95"/>
      <c r="BW11" s="95"/>
      <c r="BX11" s="95"/>
      <c r="BY11" s="95"/>
    </row>
    <row r="12" spans="1:82" x14ac:dyDescent="0.25">
      <c r="A12" s="40"/>
      <c r="B12" s="99" t="s">
        <v>14</v>
      </c>
      <c r="C12" s="99"/>
      <c r="D12" s="99"/>
      <c r="E12" s="99"/>
      <c r="F12" s="47"/>
      <c r="G12" s="101" t="s">
        <v>6</v>
      </c>
      <c r="H12" s="102"/>
      <c r="I12" s="103"/>
      <c r="J12" s="19"/>
      <c r="K12" s="6"/>
      <c r="L12" s="112" t="s">
        <v>7</v>
      </c>
      <c r="M12" s="113"/>
      <c r="N12" s="19"/>
      <c r="O12" s="6"/>
      <c r="P12" s="6" t="s">
        <v>46</v>
      </c>
      <c r="Q12" s="22"/>
      <c r="R12" s="36" t="str">
        <f>UPPER(LEFT(TEXT(R9,"jjj"),1))</f>
        <v>L</v>
      </c>
      <c r="S12" s="36" t="str">
        <f t="shared" ref="S12:BY12" si="22">UPPER(LEFT(TEXT(S9,"jjj"),1))</f>
        <v>M</v>
      </c>
      <c r="T12" s="36" t="str">
        <f t="shared" si="22"/>
        <v>M</v>
      </c>
      <c r="U12" s="36" t="str">
        <f t="shared" si="22"/>
        <v>J</v>
      </c>
      <c r="V12" s="36" t="str">
        <f t="shared" si="22"/>
        <v>V</v>
      </c>
      <c r="W12" s="36" t="str">
        <f t="shared" si="22"/>
        <v>L</v>
      </c>
      <c r="X12" s="36" t="str">
        <f t="shared" si="22"/>
        <v>M</v>
      </c>
      <c r="Y12" s="36" t="str">
        <f t="shared" si="22"/>
        <v>M</v>
      </c>
      <c r="Z12" s="36" t="str">
        <f t="shared" si="22"/>
        <v>J</v>
      </c>
      <c r="AA12" s="36" t="str">
        <f t="shared" si="22"/>
        <v>V</v>
      </c>
      <c r="AB12" s="36" t="str">
        <f t="shared" si="22"/>
        <v>L</v>
      </c>
      <c r="AC12" s="36" t="str">
        <f t="shared" si="22"/>
        <v>M</v>
      </c>
      <c r="AD12" s="36" t="str">
        <f t="shared" si="22"/>
        <v>M</v>
      </c>
      <c r="AE12" s="36" t="str">
        <f t="shared" si="22"/>
        <v>J</v>
      </c>
      <c r="AF12" s="36" t="str">
        <f t="shared" si="22"/>
        <v>V</v>
      </c>
      <c r="AG12" s="36" t="str">
        <f t="shared" si="22"/>
        <v>L</v>
      </c>
      <c r="AH12" s="36" t="str">
        <f t="shared" si="22"/>
        <v>M</v>
      </c>
      <c r="AI12" s="36" t="str">
        <f t="shared" si="22"/>
        <v>M</v>
      </c>
      <c r="AJ12" s="36" t="str">
        <f t="shared" si="22"/>
        <v>J</v>
      </c>
      <c r="AK12" s="36" t="str">
        <f t="shared" si="22"/>
        <v>V</v>
      </c>
      <c r="AL12" s="36" t="str">
        <f t="shared" si="22"/>
        <v>L</v>
      </c>
      <c r="AM12" s="36" t="str">
        <f t="shared" si="22"/>
        <v>M</v>
      </c>
      <c r="AN12" s="36" t="str">
        <f t="shared" si="22"/>
        <v>M</v>
      </c>
      <c r="AO12" s="36" t="str">
        <f t="shared" si="22"/>
        <v>J</v>
      </c>
      <c r="AP12" s="36" t="str">
        <f t="shared" si="22"/>
        <v>V</v>
      </c>
      <c r="AQ12" s="36" t="str">
        <f t="shared" si="22"/>
        <v>L</v>
      </c>
      <c r="AR12" s="36" t="str">
        <f t="shared" si="22"/>
        <v>M</v>
      </c>
      <c r="AS12" s="36" t="str">
        <f t="shared" si="22"/>
        <v>M</v>
      </c>
      <c r="AT12" s="36" t="str">
        <f t="shared" si="22"/>
        <v>J</v>
      </c>
      <c r="AU12" s="36" t="str">
        <f t="shared" si="22"/>
        <v>V</v>
      </c>
      <c r="AV12" s="36" t="str">
        <f t="shared" si="22"/>
        <v>L</v>
      </c>
      <c r="AW12" s="36" t="str">
        <f t="shared" si="22"/>
        <v>M</v>
      </c>
      <c r="AX12" s="36" t="str">
        <f t="shared" si="22"/>
        <v>M</v>
      </c>
      <c r="AY12" s="36" t="str">
        <f t="shared" si="22"/>
        <v>J</v>
      </c>
      <c r="AZ12" s="36" t="str">
        <f t="shared" si="22"/>
        <v>V</v>
      </c>
      <c r="BA12" s="36" t="str">
        <f t="shared" si="22"/>
        <v>L</v>
      </c>
      <c r="BB12" s="36" t="str">
        <f t="shared" si="22"/>
        <v>M</v>
      </c>
      <c r="BC12" s="36" t="str">
        <f t="shared" si="22"/>
        <v>M</v>
      </c>
      <c r="BD12" s="36" t="str">
        <f t="shared" si="22"/>
        <v>J</v>
      </c>
      <c r="BE12" s="36" t="str">
        <f t="shared" si="22"/>
        <v>V</v>
      </c>
      <c r="BF12" s="36" t="str">
        <f t="shared" si="22"/>
        <v>L</v>
      </c>
      <c r="BG12" s="36" t="str">
        <f t="shared" si="22"/>
        <v>M</v>
      </c>
      <c r="BH12" s="36" t="str">
        <f t="shared" si="22"/>
        <v>M</v>
      </c>
      <c r="BI12" s="36" t="str">
        <f t="shared" si="22"/>
        <v>J</v>
      </c>
      <c r="BJ12" s="36" t="str">
        <f t="shared" si="22"/>
        <v>V</v>
      </c>
      <c r="BK12" s="36" t="str">
        <f t="shared" si="22"/>
        <v>L</v>
      </c>
      <c r="BL12" s="36" t="str">
        <f t="shared" si="22"/>
        <v>M</v>
      </c>
      <c r="BM12" s="36" t="str">
        <f t="shared" si="22"/>
        <v>M</v>
      </c>
      <c r="BN12" s="36" t="str">
        <f t="shared" si="22"/>
        <v>J</v>
      </c>
      <c r="BO12" s="36" t="str">
        <f t="shared" si="22"/>
        <v>V</v>
      </c>
      <c r="BP12" s="36" t="str">
        <f t="shared" si="22"/>
        <v>L</v>
      </c>
      <c r="BQ12" s="36" t="str">
        <f t="shared" si="22"/>
        <v>M</v>
      </c>
      <c r="BR12" s="36" t="str">
        <f t="shared" si="22"/>
        <v>M</v>
      </c>
      <c r="BS12" s="36" t="str">
        <f t="shared" si="22"/>
        <v>J</v>
      </c>
      <c r="BT12" s="36" t="str">
        <f t="shared" si="22"/>
        <v>V</v>
      </c>
      <c r="BU12" s="36" t="str">
        <f t="shared" si="22"/>
        <v>L</v>
      </c>
      <c r="BV12" s="36" t="str">
        <f t="shared" si="22"/>
        <v>M</v>
      </c>
      <c r="BW12" s="36" t="str">
        <f t="shared" si="22"/>
        <v>M</v>
      </c>
      <c r="BX12" s="36" t="str">
        <f t="shared" si="22"/>
        <v>J</v>
      </c>
      <c r="BY12" s="36" t="str">
        <f t="shared" si="22"/>
        <v>V</v>
      </c>
    </row>
    <row r="13" spans="1:82" x14ac:dyDescent="0.25">
      <c r="A13" s="39"/>
      <c r="B13" s="35" t="s">
        <v>5</v>
      </c>
      <c r="C13" s="30" t="s">
        <v>1</v>
      </c>
      <c r="D13" s="24"/>
      <c r="E13" s="30" t="s">
        <v>9</v>
      </c>
      <c r="F13" s="48"/>
      <c r="G13" s="31" t="s">
        <v>2</v>
      </c>
      <c r="H13" s="31" t="s">
        <v>3</v>
      </c>
      <c r="I13" s="31" t="s">
        <v>33</v>
      </c>
      <c r="J13" s="20"/>
      <c r="K13" s="33" t="s">
        <v>8</v>
      </c>
      <c r="L13" s="31" t="s">
        <v>4</v>
      </c>
      <c r="M13" s="32" t="s">
        <v>3</v>
      </c>
      <c r="N13" s="19"/>
      <c r="O13" s="33" t="s">
        <v>8</v>
      </c>
      <c r="P13" s="33"/>
      <c r="Q13" s="22"/>
      <c r="R13" s="91">
        <f>WEEKNUM(R9,11)</f>
        <v>40</v>
      </c>
      <c r="S13" s="92"/>
      <c r="T13" s="92"/>
      <c r="U13" s="92"/>
      <c r="V13" s="92"/>
      <c r="W13" s="91">
        <f>WEEKNUM(W9,11)</f>
        <v>41</v>
      </c>
      <c r="X13" s="92"/>
      <c r="Y13" s="92"/>
      <c r="Z13" s="92"/>
      <c r="AA13" s="92"/>
      <c r="AB13" s="91">
        <f t="shared" ref="AB13" si="23">WEEKNUM(AB9,11)</f>
        <v>42</v>
      </c>
      <c r="AC13" s="92"/>
      <c r="AD13" s="92"/>
      <c r="AE13" s="92"/>
      <c r="AF13" s="92"/>
      <c r="AG13" s="91">
        <f t="shared" ref="AG13" si="24">WEEKNUM(AG9,11)</f>
        <v>43</v>
      </c>
      <c r="AH13" s="92"/>
      <c r="AI13" s="92"/>
      <c r="AJ13" s="92"/>
      <c r="AK13" s="92"/>
      <c r="AL13" s="91">
        <f t="shared" ref="AL13" si="25">WEEKNUM(AL9,11)</f>
        <v>44</v>
      </c>
      <c r="AM13" s="92"/>
      <c r="AN13" s="92"/>
      <c r="AO13" s="92"/>
      <c r="AP13" s="92"/>
      <c r="AQ13" s="91">
        <f t="shared" ref="AQ13" si="26">WEEKNUM(AQ9,11)</f>
        <v>45</v>
      </c>
      <c r="AR13" s="92"/>
      <c r="AS13" s="92"/>
      <c r="AT13" s="92"/>
      <c r="AU13" s="92"/>
      <c r="AV13" s="91">
        <f t="shared" ref="AV13" si="27">WEEKNUM(AV9,11)</f>
        <v>46</v>
      </c>
      <c r="AW13" s="92"/>
      <c r="AX13" s="92"/>
      <c r="AY13" s="92"/>
      <c r="AZ13" s="92"/>
      <c r="BA13" s="91">
        <f t="shared" ref="BA13" si="28">WEEKNUM(BA9,11)</f>
        <v>47</v>
      </c>
      <c r="BB13" s="92"/>
      <c r="BC13" s="92"/>
      <c r="BD13" s="92"/>
      <c r="BE13" s="92"/>
      <c r="BF13" s="91">
        <f t="shared" ref="BF13" si="29">WEEKNUM(BF9,11)</f>
        <v>48</v>
      </c>
      <c r="BG13" s="92"/>
      <c r="BH13" s="92"/>
      <c r="BI13" s="92"/>
      <c r="BJ13" s="92"/>
      <c r="BK13" s="91">
        <f t="shared" ref="BK13" si="30">WEEKNUM(BK9,11)</f>
        <v>49</v>
      </c>
      <c r="BL13" s="92"/>
      <c r="BM13" s="92"/>
      <c r="BN13" s="92"/>
      <c r="BO13" s="92"/>
      <c r="BP13" s="91">
        <f t="shared" ref="BP13" si="31">WEEKNUM(BP9,11)</f>
        <v>50</v>
      </c>
      <c r="BQ13" s="92"/>
      <c r="BR13" s="92"/>
      <c r="BS13" s="92"/>
      <c r="BT13" s="92"/>
      <c r="BU13" s="91">
        <f t="shared" ref="BU13" si="32">WEEKNUM(BU9,11)</f>
        <v>51</v>
      </c>
      <c r="BV13" s="92"/>
      <c r="BW13" s="92"/>
      <c r="BX13" s="92"/>
      <c r="BY13" s="92"/>
    </row>
    <row r="14" spans="1:82" ht="16.5" x14ac:dyDescent="0.25">
      <c r="A14" s="38">
        <v>1</v>
      </c>
      <c r="B14" s="84" t="s">
        <v>42</v>
      </c>
      <c r="C14" s="17">
        <v>0.8</v>
      </c>
      <c r="D14" s="26">
        <f>IF(E14&lt;&gt;"",_xlfn.XLOOKUP(E14,'Parametre Gantt'!$G$3:$G$17,'Parametre Gantt'!$F$3:$F$17,""),0)</f>
        <v>15</v>
      </c>
      <c r="E14" s="17" t="s">
        <v>41</v>
      </c>
      <c r="F14" s="56">
        <f>_xlfn.XLOOKUP(E14,'Parametre Gantt'!$G$3:$G$17,'Parametre Gantt'!$H$3:$H$17,"")</f>
        <v>0</v>
      </c>
      <c r="G14" s="18">
        <v>45569</v>
      </c>
      <c r="H14" s="18">
        <v>45576</v>
      </c>
      <c r="I14" s="64">
        <v>0.5</v>
      </c>
      <c r="J14" s="21"/>
      <c r="K14" s="34">
        <f t="shared" ref="K14:K26" si="33">IF(LOWER(B14)="formation","/",IF(AND(G14&lt;&gt;"",H14&lt;&gt;""),NETWORKDAYS(G14,H14),""))</f>
        <v>6</v>
      </c>
      <c r="L14" s="18">
        <v>45569</v>
      </c>
      <c r="M14" s="18"/>
      <c r="N14" s="25"/>
      <c r="O14" s="34" t="str">
        <f t="shared" ref="O14:O26" si="34">IF(LOWER(B14)="formation","/",IF(AND(L14&lt;&gt;"",M14&lt;&gt;""),NETWORKDAYS(L14,M14),""))</f>
        <v/>
      </c>
      <c r="P14" s="85"/>
      <c r="Q14" s="23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</row>
    <row r="15" spans="1:82" ht="30" x14ac:dyDescent="0.25">
      <c r="A15" s="38">
        <v>2</v>
      </c>
      <c r="B15" s="84" t="s">
        <v>44</v>
      </c>
      <c r="C15" s="17">
        <v>0.2</v>
      </c>
      <c r="D15" s="26">
        <f>IF(E15&lt;&gt;"",_xlfn.XLOOKUP(E15,'Parametre Gantt'!$G$3:$G$17,'Parametre Gantt'!$F$3:$F$17,""),0)</f>
        <v>2</v>
      </c>
      <c r="E15" s="17" t="s">
        <v>27</v>
      </c>
      <c r="F15" s="56">
        <f>_xlfn.XLOOKUP(E15,'Parametre Gantt'!$G$3:$G$17,'Parametre Gantt'!$H$3:$H$17,"")</f>
        <v>0</v>
      </c>
      <c r="G15" s="18">
        <v>45569</v>
      </c>
      <c r="H15" s="18">
        <v>45573</v>
      </c>
      <c r="I15" s="64">
        <v>0.5</v>
      </c>
      <c r="J15" s="21"/>
      <c r="K15" s="34">
        <f t="shared" si="33"/>
        <v>3</v>
      </c>
      <c r="L15" s="18">
        <v>45569</v>
      </c>
      <c r="M15" s="18"/>
      <c r="N15" s="25"/>
      <c r="O15" s="34" t="str">
        <f t="shared" si="34"/>
        <v/>
      </c>
      <c r="P15" s="85" t="s">
        <v>48</v>
      </c>
      <c r="Q15" s="23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</row>
    <row r="16" spans="1:82" ht="16.5" x14ac:dyDescent="0.25">
      <c r="A16" s="38">
        <v>3</v>
      </c>
      <c r="B16" s="84" t="s">
        <v>47</v>
      </c>
      <c r="C16" s="17">
        <v>0.4</v>
      </c>
      <c r="D16" s="26">
        <f>IF(E16&lt;&gt;"",_xlfn.XLOOKUP(E16,'Parametre Gantt'!$G$3:$G$17,'Parametre Gantt'!$F$3:$F$17,""),0)</f>
        <v>15</v>
      </c>
      <c r="E16" s="17" t="s">
        <v>41</v>
      </c>
      <c r="F16" s="56">
        <f>_xlfn.XLOOKUP(E16,'Parametre Gantt'!$G$3:$G$17,'Parametre Gantt'!$H$3:$H$17,"")</f>
        <v>0</v>
      </c>
      <c r="G16" s="18">
        <v>45569</v>
      </c>
      <c r="H16" s="18">
        <v>45583</v>
      </c>
      <c r="I16" s="64">
        <v>0.5</v>
      </c>
      <c r="J16" s="21"/>
      <c r="K16" s="34">
        <f t="shared" si="33"/>
        <v>11</v>
      </c>
      <c r="L16" s="18">
        <v>45569</v>
      </c>
      <c r="M16" s="18"/>
      <c r="N16" s="25"/>
      <c r="O16" s="34" t="str">
        <f t="shared" si="34"/>
        <v/>
      </c>
      <c r="P16" s="85" t="s">
        <v>55</v>
      </c>
      <c r="Q16" s="23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</row>
    <row r="17" spans="1:82" ht="30" outlineLevel="1" x14ac:dyDescent="0.25">
      <c r="A17" s="86" t="s">
        <v>90</v>
      </c>
      <c r="B17" s="84" t="s">
        <v>71</v>
      </c>
      <c r="C17" s="17">
        <v>0.6</v>
      </c>
      <c r="D17" s="26"/>
      <c r="E17" s="17" t="s">
        <v>26</v>
      </c>
      <c r="F17" s="56"/>
      <c r="G17" s="18">
        <v>45569</v>
      </c>
      <c r="H17" s="18">
        <v>45576</v>
      </c>
      <c r="I17" s="64">
        <v>0.33333333333333331</v>
      </c>
      <c r="J17" s="21"/>
      <c r="K17" s="34"/>
      <c r="L17" s="18">
        <v>45569</v>
      </c>
      <c r="M17" s="18"/>
      <c r="N17" s="25"/>
      <c r="O17" s="34"/>
      <c r="P17" s="85" t="s">
        <v>72</v>
      </c>
      <c r="Q17" s="23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</row>
    <row r="18" spans="1:82" outlineLevel="1" x14ac:dyDescent="0.25">
      <c r="A18" s="86" t="s">
        <v>91</v>
      </c>
      <c r="B18" s="84" t="s">
        <v>70</v>
      </c>
      <c r="C18" s="17">
        <v>0</v>
      </c>
      <c r="D18" s="26"/>
      <c r="E18" s="17" t="s">
        <v>41</v>
      </c>
      <c r="F18" s="56"/>
      <c r="G18" s="18"/>
      <c r="H18" s="18"/>
      <c r="I18" s="64"/>
      <c r="J18" s="21"/>
      <c r="K18" s="34"/>
      <c r="L18" s="18"/>
      <c r="M18" s="18"/>
      <c r="N18" s="25"/>
      <c r="O18" s="34"/>
      <c r="P18" s="85"/>
      <c r="Q18" s="23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</row>
    <row r="19" spans="1:82" ht="16.5" x14ac:dyDescent="0.25">
      <c r="A19" s="38">
        <v>4</v>
      </c>
      <c r="B19" s="84" t="s">
        <v>49</v>
      </c>
      <c r="C19" s="17">
        <v>0</v>
      </c>
      <c r="D19" s="26">
        <f>IF(E19&lt;&gt;"",_xlfn.XLOOKUP(E19,'Parametre Gantt'!$G$3:$G$17,'Parametre Gantt'!$F$3:$F$17,""),0)</f>
        <v>15</v>
      </c>
      <c r="E19" s="17" t="s">
        <v>41</v>
      </c>
      <c r="F19" s="56">
        <f>_xlfn.XLOOKUP(E19,'Parametre Gantt'!$G$3:$G$17,'Parametre Gantt'!$H$3:$H$17,"")</f>
        <v>0</v>
      </c>
      <c r="G19" s="18">
        <v>45583</v>
      </c>
      <c r="H19" s="18">
        <v>45590</v>
      </c>
      <c r="I19" s="64">
        <v>0.95833333333333337</v>
      </c>
      <c r="J19" s="21"/>
      <c r="K19" s="34">
        <f t="shared" si="33"/>
        <v>6</v>
      </c>
      <c r="L19" s="18"/>
      <c r="M19" s="18"/>
      <c r="N19" s="25"/>
      <c r="O19" s="34" t="str">
        <f t="shared" si="34"/>
        <v/>
      </c>
      <c r="P19" s="85" t="s">
        <v>51</v>
      </c>
      <c r="Q19" s="23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</row>
    <row r="20" spans="1:82" ht="30" outlineLevel="1" x14ac:dyDescent="0.25">
      <c r="A20" s="86" t="s">
        <v>92</v>
      </c>
      <c r="B20" s="84" t="s">
        <v>73</v>
      </c>
      <c r="C20" s="17">
        <v>0</v>
      </c>
      <c r="D20" s="26"/>
      <c r="E20" s="17" t="s">
        <v>74</v>
      </c>
      <c r="F20" s="56"/>
      <c r="G20" s="18"/>
      <c r="H20" s="18"/>
      <c r="I20" s="64"/>
      <c r="J20" s="21"/>
      <c r="K20" s="34"/>
      <c r="L20" s="18"/>
      <c r="M20" s="18"/>
      <c r="N20" s="25"/>
      <c r="O20" s="34"/>
      <c r="P20" s="85"/>
      <c r="Q20" s="23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</row>
    <row r="21" spans="1:82" outlineLevel="2" x14ac:dyDescent="0.25">
      <c r="A21" s="86" t="s">
        <v>93</v>
      </c>
      <c r="B21" s="84" t="s">
        <v>78</v>
      </c>
      <c r="C21" s="17">
        <v>0</v>
      </c>
      <c r="D21" s="26"/>
      <c r="E21" s="17" t="s">
        <v>74</v>
      </c>
      <c r="F21" s="56"/>
      <c r="G21" s="18"/>
      <c r="H21" s="18"/>
      <c r="I21" s="64"/>
      <c r="J21" s="21"/>
      <c r="K21" s="34"/>
      <c r="L21" s="18"/>
      <c r="M21" s="18"/>
      <c r="N21" s="25"/>
      <c r="O21" s="34"/>
      <c r="P21" s="85"/>
      <c r="Q21" s="23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</row>
    <row r="22" spans="1:82" ht="60" outlineLevel="2" x14ac:dyDescent="0.25">
      <c r="A22" s="86" t="s">
        <v>94</v>
      </c>
      <c r="B22" s="84" t="s">
        <v>79</v>
      </c>
      <c r="C22" s="17">
        <v>0</v>
      </c>
      <c r="D22" s="26"/>
      <c r="E22" s="17" t="s">
        <v>74</v>
      </c>
      <c r="F22" s="56"/>
      <c r="G22" s="18"/>
      <c r="H22" s="18"/>
      <c r="I22" s="64"/>
      <c r="J22" s="21"/>
      <c r="K22" s="34"/>
      <c r="L22" s="18"/>
      <c r="M22" s="18"/>
      <c r="N22" s="25"/>
      <c r="O22" s="34"/>
      <c r="P22" s="85" t="s">
        <v>80</v>
      </c>
      <c r="Q22" s="23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</row>
    <row r="23" spans="1:82" ht="30" outlineLevel="1" x14ac:dyDescent="0.25">
      <c r="A23" s="86" t="s">
        <v>95</v>
      </c>
      <c r="B23" s="84" t="s">
        <v>77</v>
      </c>
      <c r="C23" s="17">
        <v>0</v>
      </c>
      <c r="D23" s="26"/>
      <c r="E23" s="17" t="s">
        <v>74</v>
      </c>
      <c r="F23" s="56"/>
      <c r="G23" s="18"/>
      <c r="H23" s="18"/>
      <c r="I23" s="64"/>
      <c r="J23" s="21"/>
      <c r="K23" s="34"/>
      <c r="L23" s="18"/>
      <c r="M23" s="18"/>
      <c r="N23" s="25"/>
      <c r="O23" s="34"/>
      <c r="P23" s="85"/>
      <c r="Q23" s="23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</row>
    <row r="24" spans="1:82" ht="60" outlineLevel="1" x14ac:dyDescent="0.25">
      <c r="A24" s="86" t="s">
        <v>96</v>
      </c>
      <c r="B24" s="84" t="s">
        <v>83</v>
      </c>
      <c r="C24" s="17">
        <v>0</v>
      </c>
      <c r="D24" s="26"/>
      <c r="E24" s="17" t="s">
        <v>74</v>
      </c>
      <c r="F24" s="56"/>
      <c r="G24" s="18"/>
      <c r="H24" s="18"/>
      <c r="I24" s="64"/>
      <c r="J24" s="21"/>
      <c r="K24" s="34"/>
      <c r="L24" s="18"/>
      <c r="M24" s="18"/>
      <c r="N24" s="25"/>
      <c r="O24" s="34"/>
      <c r="P24" s="85" t="s">
        <v>81</v>
      </c>
      <c r="Q24" s="23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</row>
    <row r="25" spans="1:82" ht="30" x14ac:dyDescent="0.25">
      <c r="A25" s="38">
        <v>5</v>
      </c>
      <c r="B25" s="84" t="s">
        <v>50</v>
      </c>
      <c r="C25" s="17">
        <v>0</v>
      </c>
      <c r="D25" s="26">
        <f>IF(E25&lt;&gt;"",_xlfn.XLOOKUP(E25,'Parametre Gantt'!$G$3:$G$17,'Parametre Gantt'!$F$3:$F$17,""),0)</f>
        <v>15</v>
      </c>
      <c r="E25" s="17" t="s">
        <v>41</v>
      </c>
      <c r="F25" s="56">
        <f>_xlfn.XLOOKUP(E25,'Parametre Gantt'!$G$3:$G$17,'Parametre Gantt'!$H$3:$H$17,"")</f>
        <v>0</v>
      </c>
      <c r="G25" s="18">
        <v>45597</v>
      </c>
      <c r="H25" s="18">
        <v>45604</v>
      </c>
      <c r="I25" s="64">
        <v>0.54097222222222219</v>
      </c>
      <c r="J25" s="21"/>
      <c r="K25" s="34">
        <f t="shared" si="33"/>
        <v>6</v>
      </c>
      <c r="L25" s="18"/>
      <c r="M25" s="18"/>
      <c r="N25" s="25"/>
      <c r="O25" s="34" t="str">
        <f t="shared" si="34"/>
        <v/>
      </c>
      <c r="P25" s="85" t="s">
        <v>51</v>
      </c>
      <c r="Q25" s="23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</row>
    <row r="26" spans="1:82" ht="30" x14ac:dyDescent="0.25">
      <c r="A26" s="38">
        <v>6</v>
      </c>
      <c r="B26" s="84" t="s">
        <v>84</v>
      </c>
      <c r="C26" s="17">
        <v>0</v>
      </c>
      <c r="D26" s="26">
        <f>IF(E26&lt;&gt;"",_xlfn.XLOOKUP(E26,'Parametre Gantt'!$G$3:$G$17,'Parametre Gantt'!$F$3:$F$17,""),0)</f>
        <v>15</v>
      </c>
      <c r="E26" s="17" t="s">
        <v>41</v>
      </c>
      <c r="F26" s="56">
        <f>_xlfn.XLOOKUP(E26,'Parametre Gantt'!$G$3:$G$17,'Parametre Gantt'!$H$3:$H$17,"")</f>
        <v>0</v>
      </c>
      <c r="G26" s="18">
        <v>45597</v>
      </c>
      <c r="H26" s="18">
        <v>45632</v>
      </c>
      <c r="I26" s="64"/>
      <c r="J26" s="21"/>
      <c r="K26" s="34">
        <f t="shared" si="33"/>
        <v>26</v>
      </c>
      <c r="L26" s="18"/>
      <c r="M26" s="18"/>
      <c r="N26" s="25"/>
      <c r="O26" s="34" t="str">
        <f t="shared" si="34"/>
        <v/>
      </c>
      <c r="P26" s="85" t="s">
        <v>89</v>
      </c>
      <c r="Q26" s="23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CD26" t="str">
        <f>IF(AND($G28&lt;=R$9, $H28&gt;=R$9, ISNUMBER(FIND(LOWER('Parametre Gantt'!$A$3), LOWER($B28)))),'Parametre Gantt'!B10,"")</f>
        <v/>
      </c>
    </row>
    <row r="27" spans="1:82" ht="30" x14ac:dyDescent="0.25">
      <c r="A27" s="38">
        <v>7</v>
      </c>
      <c r="B27" s="84" t="s">
        <v>85</v>
      </c>
      <c r="C27" s="17">
        <v>0</v>
      </c>
      <c r="D27" s="26">
        <f>IF(E27&lt;&gt;"",_xlfn.XLOOKUP(E27,'Parametre Gantt'!$G$3:$G$17,'Parametre Gantt'!$F$3:$F$17,""),0)</f>
        <v>15</v>
      </c>
      <c r="E27" s="17" t="s">
        <v>41</v>
      </c>
      <c r="F27" s="56">
        <f>_xlfn.XLOOKUP(E27,'Parametre Gantt'!$G$3:$G$17,'Parametre Gantt'!$H$3:$H$17,"")</f>
        <v>0</v>
      </c>
      <c r="G27" s="18">
        <v>45597</v>
      </c>
      <c r="H27" s="18">
        <v>45632</v>
      </c>
      <c r="I27" s="64"/>
      <c r="J27" s="21"/>
      <c r="K27" s="34">
        <f>IF(LOWER(B27)="formation","/",IF(AND(G27&lt;&gt;"",H27&lt;&gt;""),NETWORKDAYS(G27,H27),""))</f>
        <v>26</v>
      </c>
      <c r="L27" s="18"/>
      <c r="M27" s="18"/>
      <c r="N27" s="25"/>
      <c r="O27" s="34" t="str">
        <f>IF(LOWER(B27)="formation","/",IF(AND(L27&lt;&gt;"",M27&lt;&gt;""),NETWORKDAYS(L27,M27),""))</f>
        <v/>
      </c>
      <c r="P27" s="85" t="s">
        <v>89</v>
      </c>
      <c r="Q27" s="23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CD27" t="str">
        <f>IF(AND($G29&lt;=R$9, $H29&gt;=R$9, ISNUMBER(FIND(LOWER('Parametre Gantt'!$A$3), LOWER($B29)))),'Parametre Gantt'!B11,"")</f>
        <v/>
      </c>
    </row>
    <row r="28" spans="1:82" ht="30" x14ac:dyDescent="0.25">
      <c r="A28" s="38">
        <v>8</v>
      </c>
      <c r="B28" s="84" t="s">
        <v>86</v>
      </c>
      <c r="C28" s="17">
        <v>0</v>
      </c>
      <c r="D28" s="26">
        <f>IF(E28&lt;&gt;"",_xlfn.XLOOKUP(E28,'Parametre Gantt'!$G$3:$G$17,'Parametre Gantt'!$F$3:$F$17,""),0)</f>
        <v>15</v>
      </c>
      <c r="E28" s="17" t="s">
        <v>41</v>
      </c>
      <c r="F28" s="56">
        <f>_xlfn.XLOOKUP(E28,'Parametre Gantt'!$G$3:$G$17,'Parametre Gantt'!$H$3:$H$17,"")</f>
        <v>0</v>
      </c>
      <c r="G28" s="18">
        <v>45597</v>
      </c>
      <c r="H28" s="18">
        <v>45632</v>
      </c>
      <c r="I28" s="64"/>
      <c r="J28" s="21"/>
      <c r="K28" s="34">
        <f t="shared" ref="K28:K64" si="35">IF(LOWER(B28)="formation","/",IF(AND(G28&lt;&gt;"",H28&lt;&gt;""),NETWORKDAYS(G28,H28),""))</f>
        <v>26</v>
      </c>
      <c r="L28" s="18"/>
      <c r="M28" s="18"/>
      <c r="N28" s="25"/>
      <c r="O28" s="34" t="str">
        <f t="shared" ref="O28:O64" si="36">IF(LOWER(B28)="formation","/",IF(AND(L28&lt;&gt;"",M28&lt;&gt;""),NETWORKDAYS(L28,M28),""))</f>
        <v/>
      </c>
      <c r="P28" s="85" t="s">
        <v>89</v>
      </c>
      <c r="Q28" s="23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CD28" t="str">
        <f>IF(AND($G31&lt;=R$9, $H31&gt;=R$9, ISNUMBER(FIND(LOWER('Parametre Gantt'!$A$3), LOWER($B31)))),'Parametre Gantt'!#REF!,"")</f>
        <v/>
      </c>
    </row>
    <row r="29" spans="1:82" ht="24.95" customHeight="1" x14ac:dyDescent="0.25">
      <c r="A29" s="38">
        <v>9</v>
      </c>
      <c r="B29" s="84" t="s">
        <v>87</v>
      </c>
      <c r="C29" s="17">
        <v>0</v>
      </c>
      <c r="D29" s="26">
        <f>IF(E29&lt;&gt;"",_xlfn.XLOOKUP(E29,'Parametre Gantt'!$G$3:$G$17,'Parametre Gantt'!$F$3:$F$17,""),0)</f>
        <v>15</v>
      </c>
      <c r="E29" s="17" t="s">
        <v>41</v>
      </c>
      <c r="F29" s="56">
        <f>_xlfn.XLOOKUP(E29,'Parametre Gantt'!$G$3:$G$17,'Parametre Gantt'!$H$3:$H$17,"")</f>
        <v>0</v>
      </c>
      <c r="G29" s="18">
        <v>45604</v>
      </c>
      <c r="H29" s="18">
        <v>45625</v>
      </c>
      <c r="I29" s="64"/>
      <c r="J29" s="21"/>
      <c r="K29" s="34">
        <f t="shared" si="35"/>
        <v>16</v>
      </c>
      <c r="L29" s="18"/>
      <c r="M29" s="18"/>
      <c r="N29" s="25"/>
      <c r="O29" s="34" t="str">
        <f t="shared" si="36"/>
        <v/>
      </c>
      <c r="P29" s="85"/>
      <c r="Q29" s="23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CD29" t="str">
        <f>IF(AND($G33&lt;=R$9, $H33&gt;=R$9, ISNUMBER(FIND(LOWER('Parametre Gantt'!$A$3), LOWER($B33)))),'Parametre Gantt'!B17,"")</f>
        <v/>
      </c>
    </row>
    <row r="30" spans="1:82" ht="24.95" customHeight="1" x14ac:dyDescent="0.25">
      <c r="A30" s="38">
        <v>10</v>
      </c>
      <c r="B30" s="84" t="s">
        <v>88</v>
      </c>
      <c r="C30" s="17">
        <v>0</v>
      </c>
      <c r="D30" s="26">
        <f>IF(E30&lt;&gt;"",_xlfn.XLOOKUP(E30,'Parametre Gantt'!$G$3:$G$17,'Parametre Gantt'!$F$3:$F$17,""),0)</f>
        <v>15</v>
      </c>
      <c r="E30" s="17" t="s">
        <v>41</v>
      </c>
      <c r="F30" s="56">
        <f>_xlfn.XLOOKUP(E30,'Parametre Gantt'!$G$3:$G$17,'Parametre Gantt'!$H$3:$H$17,"")</f>
        <v>0</v>
      </c>
      <c r="G30" s="18">
        <v>45639</v>
      </c>
      <c r="H30" s="18">
        <v>45639</v>
      </c>
      <c r="I30" s="64"/>
      <c r="J30" s="21"/>
      <c r="K30" s="34">
        <f t="shared" si="35"/>
        <v>1</v>
      </c>
      <c r="L30" s="18"/>
      <c r="M30" s="18"/>
      <c r="N30" s="25"/>
      <c r="O30" s="34" t="str">
        <f t="shared" si="36"/>
        <v/>
      </c>
      <c r="P30" s="85"/>
      <c r="Q30" s="23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</row>
    <row r="31" spans="1:82" ht="24.95" customHeight="1" x14ac:dyDescent="0.25">
      <c r="A31" s="38">
        <v>11</v>
      </c>
      <c r="B31" s="84"/>
      <c r="C31" s="17"/>
      <c r="D31" s="26">
        <f>IF(E31&lt;&gt;"",_xlfn.XLOOKUP(E31,'Parametre Gantt'!$G$3:$G$17,'Parametre Gantt'!$F$3:$F$17,""),0)</f>
        <v>0</v>
      </c>
      <c r="E31" s="17"/>
      <c r="F31" s="56" t="str">
        <f>_xlfn.XLOOKUP(E31,'Parametre Gantt'!$G$3:$G$17,'Parametre Gantt'!$H$3:$H$17,"")</f>
        <v/>
      </c>
      <c r="G31" s="18"/>
      <c r="H31" s="18"/>
      <c r="I31" s="64"/>
      <c r="J31" s="21"/>
      <c r="K31" s="34" t="str">
        <f t="shared" si="35"/>
        <v/>
      </c>
      <c r="L31" s="18"/>
      <c r="M31" s="18"/>
      <c r="N31" s="25"/>
      <c r="O31" s="34" t="str">
        <f t="shared" si="36"/>
        <v/>
      </c>
      <c r="P31" s="85"/>
      <c r="Q31" s="23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CD31" t="str">
        <f>IF(AND($G34&lt;=R$9, $H34&gt;=R$9, ISNUMBER(FIND(LOWER('Parametre Gantt'!$A$3), LOWER($B34)))),'Parametre Gantt'!B18,"")</f>
        <v/>
      </c>
    </row>
    <row r="32" spans="1:82" ht="24.95" customHeight="1" x14ac:dyDescent="0.25">
      <c r="A32" s="38">
        <v>12</v>
      </c>
      <c r="B32" s="84"/>
      <c r="C32" s="17"/>
      <c r="D32" s="26">
        <f>IF(E32&lt;&gt;"",_xlfn.XLOOKUP(E32,'Parametre Gantt'!$G$3:$G$17,'Parametre Gantt'!$F$3:$F$17,""),0)</f>
        <v>0</v>
      </c>
      <c r="E32" s="17"/>
      <c r="F32" s="56" t="str">
        <f>_xlfn.XLOOKUP(E32,'Parametre Gantt'!$G$3:$G$17,'Parametre Gantt'!$H$3:$H$17,"")</f>
        <v/>
      </c>
      <c r="G32" s="18"/>
      <c r="H32" s="18"/>
      <c r="I32" s="64"/>
      <c r="J32" s="21"/>
      <c r="K32" s="34" t="str">
        <f t="shared" si="35"/>
        <v/>
      </c>
      <c r="L32" s="18"/>
      <c r="M32" s="18"/>
      <c r="N32" s="25"/>
      <c r="O32" s="34" t="str">
        <f t="shared" si="36"/>
        <v/>
      </c>
      <c r="P32" s="85"/>
      <c r="Q32" s="23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</row>
    <row r="33" spans="1:82" ht="24.95" customHeight="1" x14ac:dyDescent="0.25">
      <c r="A33" s="38">
        <v>13</v>
      </c>
      <c r="B33" s="84"/>
      <c r="C33" s="17"/>
      <c r="D33" s="26">
        <f>IF(E33&lt;&gt;"",_xlfn.XLOOKUP(E33,'Parametre Gantt'!$G$3:$G$17,'Parametre Gantt'!$F$3:$F$17,""),0)</f>
        <v>0</v>
      </c>
      <c r="E33" s="17"/>
      <c r="F33" s="56" t="str">
        <f>_xlfn.XLOOKUP(E33,'Parametre Gantt'!$G$3:$G$17,'Parametre Gantt'!$H$3:$H$17,"")</f>
        <v/>
      </c>
      <c r="G33" s="18"/>
      <c r="H33" s="18"/>
      <c r="I33" s="64"/>
      <c r="J33" s="21"/>
      <c r="K33" s="34" t="str">
        <f t="shared" si="35"/>
        <v/>
      </c>
      <c r="L33" s="18"/>
      <c r="M33" s="18"/>
      <c r="N33" s="25"/>
      <c r="O33" s="34" t="str">
        <f t="shared" si="36"/>
        <v/>
      </c>
      <c r="P33" s="85"/>
      <c r="Q33" s="23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CD33" t="str">
        <f>IF(AND($G37&lt;=R$9, $H37&gt;=R$9, ISNUMBER(FIND(LOWER('Parametre Gantt'!$A$3), LOWER($B37)))),'Parametre Gantt'!B19,"")</f>
        <v/>
      </c>
    </row>
    <row r="34" spans="1:82" ht="24.95" customHeight="1" x14ac:dyDescent="0.25">
      <c r="A34" s="38">
        <v>14</v>
      </c>
      <c r="B34" s="84"/>
      <c r="C34" s="17"/>
      <c r="D34" s="26">
        <f>IF(E34&lt;&gt;"",_xlfn.XLOOKUP(E34,'Parametre Gantt'!$G$3:$G$17,'Parametre Gantt'!$F$3:$F$17,""),0)</f>
        <v>0</v>
      </c>
      <c r="E34" s="17"/>
      <c r="F34" s="56" t="str">
        <f>_xlfn.XLOOKUP(E34,'Parametre Gantt'!$G$3:$G$17,'Parametre Gantt'!$H$3:$H$17,"")</f>
        <v/>
      </c>
      <c r="G34" s="18"/>
      <c r="H34" s="18"/>
      <c r="I34" s="64"/>
      <c r="J34" s="21"/>
      <c r="K34" s="34" t="str">
        <f t="shared" si="35"/>
        <v/>
      </c>
      <c r="L34" s="18"/>
      <c r="M34" s="18"/>
      <c r="N34" s="25"/>
      <c r="O34" s="34" t="str">
        <f t="shared" si="36"/>
        <v/>
      </c>
      <c r="P34" s="85"/>
      <c r="Q34" s="23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CD34" t="str">
        <f>IF(AND($G38&lt;=R$9, $H38&gt;=R$9, ISNUMBER(FIND(LOWER('Parametre Gantt'!$A$3), LOWER($B38)))),'Parametre Gantt'!B20,"")</f>
        <v/>
      </c>
    </row>
    <row r="35" spans="1:82" ht="24.95" customHeight="1" x14ac:dyDescent="0.25">
      <c r="A35" s="38">
        <v>15</v>
      </c>
      <c r="B35" s="84"/>
      <c r="C35" s="17"/>
      <c r="D35" s="26">
        <f>IF(E35&lt;&gt;"",_xlfn.XLOOKUP(E35,'Parametre Gantt'!$G$3:$G$17,'Parametre Gantt'!$F$3:$F$17,""),0)</f>
        <v>0</v>
      </c>
      <c r="E35" s="17"/>
      <c r="F35" s="56" t="str">
        <f>_xlfn.XLOOKUP(E35,'Parametre Gantt'!$G$3:$G$17,'Parametre Gantt'!$H$3:$H$17,"")</f>
        <v/>
      </c>
      <c r="G35" s="18"/>
      <c r="H35" s="18"/>
      <c r="I35" s="64"/>
      <c r="J35" s="21"/>
      <c r="K35" s="34" t="str">
        <f t="shared" si="35"/>
        <v/>
      </c>
      <c r="L35" s="18"/>
      <c r="M35" s="18"/>
      <c r="N35" s="25"/>
      <c r="O35" s="34" t="str">
        <f t="shared" si="36"/>
        <v/>
      </c>
      <c r="P35" s="85"/>
      <c r="Q35" s="23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</row>
    <row r="36" spans="1:82" ht="24.95" customHeight="1" x14ac:dyDescent="0.25">
      <c r="A36" s="38">
        <v>16</v>
      </c>
      <c r="B36" s="84"/>
      <c r="C36" s="17"/>
      <c r="D36" s="26"/>
      <c r="E36" s="17"/>
      <c r="F36" s="56"/>
      <c r="G36" s="18"/>
      <c r="H36" s="18"/>
      <c r="I36" s="64"/>
      <c r="J36" s="21"/>
      <c r="K36" s="34" t="str">
        <f t="shared" si="35"/>
        <v/>
      </c>
      <c r="L36" s="18"/>
      <c r="M36" s="18"/>
      <c r="N36" s="25"/>
      <c r="O36" s="34" t="str">
        <f t="shared" si="36"/>
        <v/>
      </c>
      <c r="P36" s="85"/>
      <c r="Q36" s="23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</row>
    <row r="37" spans="1:82" ht="24.95" customHeight="1" x14ac:dyDescent="0.25">
      <c r="A37" s="38">
        <v>17</v>
      </c>
      <c r="B37" s="16"/>
      <c r="C37" s="17"/>
      <c r="D37" s="26">
        <f>IF(E37&lt;&gt;"",_xlfn.XLOOKUP(E37,'Parametre Gantt'!$G$3:$G$17,'Parametre Gantt'!$F$3:$F$17,""),0)</f>
        <v>0</v>
      </c>
      <c r="E37" s="17"/>
      <c r="F37" s="56" t="str">
        <f>_xlfn.XLOOKUP(E37,'Parametre Gantt'!$G$3:$G$17,'Parametre Gantt'!$H$3:$H$17,"")</f>
        <v/>
      </c>
      <c r="G37" s="18"/>
      <c r="H37" s="18"/>
      <c r="I37" s="64"/>
      <c r="J37" s="21"/>
      <c r="K37" s="34" t="str">
        <f t="shared" si="35"/>
        <v/>
      </c>
      <c r="L37" s="18"/>
      <c r="M37" s="18"/>
      <c r="N37" s="25"/>
      <c r="O37" s="34" t="str">
        <f t="shared" si="36"/>
        <v/>
      </c>
      <c r="P37" s="85"/>
      <c r="Q37" s="23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CD37" t="str">
        <f>IF(AND($G40&lt;=R$9, $H40&gt;=R$9, ISNUMBER(FIND(LOWER('Parametre Gantt'!$A$3), LOWER($B40)))),'Parametre Gantt'!B21,"")</f>
        <v/>
      </c>
    </row>
    <row r="38" spans="1:82" ht="24.95" customHeight="1" x14ac:dyDescent="0.25">
      <c r="A38" s="38">
        <v>18</v>
      </c>
      <c r="B38" s="16"/>
      <c r="C38" s="17"/>
      <c r="D38" s="26">
        <f>IF(E38&lt;&gt;"",_xlfn.XLOOKUP(E38,'Parametre Gantt'!$G$3:$G$17,'Parametre Gantt'!$F$3:$F$17,""),0)</f>
        <v>0</v>
      </c>
      <c r="E38" s="17"/>
      <c r="F38" s="56" t="str">
        <f>_xlfn.XLOOKUP(E38,'Parametre Gantt'!$G$3:$G$17,'Parametre Gantt'!$H$3:$H$17,"")</f>
        <v/>
      </c>
      <c r="G38" s="18"/>
      <c r="H38" s="18"/>
      <c r="I38" s="64"/>
      <c r="J38" s="21"/>
      <c r="K38" s="34" t="str">
        <f t="shared" si="35"/>
        <v/>
      </c>
      <c r="L38" s="18"/>
      <c r="M38" s="18"/>
      <c r="N38" s="25"/>
      <c r="O38" s="34" t="str">
        <f t="shared" si="36"/>
        <v/>
      </c>
      <c r="P38" s="85"/>
      <c r="Q38" s="23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CD38" t="str">
        <f>IF(AND($G41&lt;=R$9, $H41&gt;=R$9, ISNUMBER(FIND(LOWER('Parametre Gantt'!$A$3), LOWER($B41)))),'Parametre Gantt'!B22,"")</f>
        <v/>
      </c>
    </row>
    <row r="39" spans="1:82" ht="24.95" customHeight="1" x14ac:dyDescent="0.25">
      <c r="A39" s="38">
        <v>19</v>
      </c>
      <c r="B39" s="16"/>
      <c r="C39" s="17"/>
      <c r="D39" s="26">
        <f>IF(E39&lt;&gt;"",_xlfn.XLOOKUP(E39,'Parametre Gantt'!$G$3:$G$17,'Parametre Gantt'!$F$3:$F$17,""),0)</f>
        <v>0</v>
      </c>
      <c r="E39" s="17"/>
      <c r="F39" s="56" t="str">
        <f>_xlfn.XLOOKUP(E39,'Parametre Gantt'!$G$3:$G$17,'Parametre Gantt'!$H$3:$H$17,"")</f>
        <v/>
      </c>
      <c r="G39" s="18"/>
      <c r="H39" s="18"/>
      <c r="I39" s="64"/>
      <c r="J39" s="21"/>
      <c r="K39" s="34" t="str">
        <f t="shared" si="35"/>
        <v/>
      </c>
      <c r="L39" s="18"/>
      <c r="M39" s="18"/>
      <c r="N39" s="25"/>
      <c r="O39" s="34" t="str">
        <f t="shared" si="36"/>
        <v/>
      </c>
      <c r="P39" s="85"/>
      <c r="Q39" s="23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</row>
    <row r="40" spans="1:82" ht="24.95" customHeight="1" x14ac:dyDescent="0.25">
      <c r="A40" s="38">
        <v>20</v>
      </c>
      <c r="B40" s="16"/>
      <c r="C40" s="17"/>
      <c r="D40" s="26">
        <f>IF(E40&lt;&gt;"",_xlfn.XLOOKUP(E40,'Parametre Gantt'!$G$3:$G$17,'Parametre Gantt'!$F$3:$F$17,""),0)</f>
        <v>0</v>
      </c>
      <c r="E40" s="17"/>
      <c r="F40" s="56" t="str">
        <f>_xlfn.XLOOKUP(E40,'Parametre Gantt'!$G$3:$G$17,'Parametre Gantt'!$H$3:$H$17,"")</f>
        <v/>
      </c>
      <c r="G40" s="18"/>
      <c r="H40" s="18"/>
      <c r="I40" s="64"/>
      <c r="J40" s="21"/>
      <c r="K40" s="34" t="str">
        <f t="shared" si="35"/>
        <v/>
      </c>
      <c r="L40" s="18"/>
      <c r="M40" s="18"/>
      <c r="N40" s="25"/>
      <c r="O40" s="34" t="str">
        <f t="shared" si="36"/>
        <v/>
      </c>
      <c r="P40" s="65"/>
      <c r="Q40" s="23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</row>
    <row r="41" spans="1:82" ht="24.95" customHeight="1" x14ac:dyDescent="0.25">
      <c r="A41" s="38">
        <v>21</v>
      </c>
      <c r="B41" s="16"/>
      <c r="C41" s="17"/>
      <c r="D41" s="26">
        <f>IF(E41&lt;&gt;"",_xlfn.XLOOKUP(E41,'Parametre Gantt'!$G$3:$G$17,'Parametre Gantt'!$F$3:$F$17,""),0)</f>
        <v>0</v>
      </c>
      <c r="E41" s="17"/>
      <c r="F41" s="56" t="str">
        <f>_xlfn.XLOOKUP(E41,'Parametre Gantt'!$G$3:$G$17,'Parametre Gantt'!$H$3:$H$17,"")</f>
        <v/>
      </c>
      <c r="G41" s="18"/>
      <c r="H41" s="18"/>
      <c r="I41" s="64"/>
      <c r="J41" s="21"/>
      <c r="K41" s="34" t="str">
        <f t="shared" si="35"/>
        <v/>
      </c>
      <c r="L41" s="18"/>
      <c r="M41" s="18"/>
      <c r="N41" s="25"/>
      <c r="O41" s="34" t="str">
        <f t="shared" si="36"/>
        <v/>
      </c>
      <c r="P41" s="65"/>
      <c r="Q41" s="23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</row>
    <row r="42" spans="1:82" ht="24.95" customHeight="1" x14ac:dyDescent="0.25">
      <c r="A42" s="38">
        <v>21.1</v>
      </c>
      <c r="B42" s="16"/>
      <c r="C42" s="17"/>
      <c r="D42" s="26">
        <f>IF(E42&lt;&gt;"",_xlfn.XLOOKUP(E42,'Parametre Gantt'!$G$3:$G$17,'Parametre Gantt'!$F$3:$F$17,""),0)</f>
        <v>0</v>
      </c>
      <c r="E42" s="17"/>
      <c r="F42" s="56" t="str">
        <f>_xlfn.XLOOKUP(E42,'Parametre Gantt'!$G$3:$G$17,'Parametre Gantt'!$H$3:$H$17,"")</f>
        <v/>
      </c>
      <c r="G42" s="18"/>
      <c r="H42" s="18"/>
      <c r="I42" s="64"/>
      <c r="J42" s="21"/>
      <c r="K42" s="34" t="str">
        <f t="shared" si="35"/>
        <v/>
      </c>
      <c r="L42" s="18"/>
      <c r="M42" s="18"/>
      <c r="N42" s="25"/>
      <c r="O42" s="34" t="str">
        <f t="shared" si="36"/>
        <v/>
      </c>
      <c r="P42" s="65"/>
      <c r="Q42" s="23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</row>
    <row r="43" spans="1:82" ht="24.95" customHeight="1" x14ac:dyDescent="0.25">
      <c r="A43" s="38">
        <v>21.2</v>
      </c>
      <c r="B43" s="16"/>
      <c r="C43" s="17"/>
      <c r="D43" s="26">
        <f>IF(E43&lt;&gt;"",_xlfn.XLOOKUP(E43,'Parametre Gantt'!$G$3:$G$17,'Parametre Gantt'!$F$3:$F$17,""),0)</f>
        <v>0</v>
      </c>
      <c r="E43" s="17"/>
      <c r="F43" s="56" t="str">
        <f>_xlfn.XLOOKUP(E43,'Parametre Gantt'!$G$3:$G$17,'Parametre Gantt'!$H$3:$H$17,"")</f>
        <v/>
      </c>
      <c r="G43" s="18"/>
      <c r="H43" s="18"/>
      <c r="I43" s="64"/>
      <c r="J43" s="21"/>
      <c r="K43" s="34"/>
      <c r="L43" s="18"/>
      <c r="M43" s="18"/>
      <c r="N43" s="25"/>
      <c r="O43" s="34"/>
      <c r="P43" s="65"/>
      <c r="Q43" s="23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</row>
    <row r="44" spans="1:82" ht="24.95" customHeight="1" x14ac:dyDescent="0.25">
      <c r="A44" s="38">
        <v>21.3</v>
      </c>
      <c r="B44" s="16"/>
      <c r="C44" s="17"/>
      <c r="D44" s="26">
        <f>IF(E44&lt;&gt;"",_xlfn.XLOOKUP(E44,'Parametre Gantt'!$G$3:$G$17,'Parametre Gantt'!$F$3:$F$17,""),0)</f>
        <v>0</v>
      </c>
      <c r="E44" s="17"/>
      <c r="F44" s="56" t="str">
        <f>_xlfn.XLOOKUP(E44,'Parametre Gantt'!$G$3:$G$17,'Parametre Gantt'!$H$3:$H$17,"")</f>
        <v/>
      </c>
      <c r="G44" s="18"/>
      <c r="H44" s="18"/>
      <c r="I44" s="64"/>
      <c r="J44" s="21"/>
      <c r="K44" s="34"/>
      <c r="L44" s="18"/>
      <c r="M44" s="18"/>
      <c r="N44" s="25"/>
      <c r="O44" s="34"/>
      <c r="P44" s="65"/>
      <c r="Q44" s="23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</row>
    <row r="45" spans="1:82" ht="24.95" customHeight="1" x14ac:dyDescent="0.25">
      <c r="A45" s="38">
        <v>21.4</v>
      </c>
      <c r="B45" s="16"/>
      <c r="C45" s="17"/>
      <c r="D45" s="26">
        <f>IF(E45&lt;&gt;"",_xlfn.XLOOKUP(E45,'Parametre Gantt'!$G$3:$G$17,'Parametre Gantt'!$F$3:$F$17,""),0)</f>
        <v>0</v>
      </c>
      <c r="E45" s="17"/>
      <c r="F45" s="56" t="str">
        <f>_xlfn.XLOOKUP(E45,'Parametre Gantt'!$G$3:$G$17,'Parametre Gantt'!$H$3:$H$17,"")</f>
        <v/>
      </c>
      <c r="G45" s="18"/>
      <c r="H45" s="18"/>
      <c r="I45" s="64"/>
      <c r="J45" s="21"/>
      <c r="K45" s="34"/>
      <c r="L45" s="18"/>
      <c r="M45" s="18"/>
      <c r="N45" s="25"/>
      <c r="O45" s="34"/>
      <c r="P45" s="65"/>
      <c r="Q45" s="23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</row>
    <row r="46" spans="1:82" ht="24.95" customHeight="1" x14ac:dyDescent="0.25">
      <c r="A46" s="38">
        <v>21.5</v>
      </c>
      <c r="B46" s="16"/>
      <c r="C46" s="17"/>
      <c r="D46" s="26">
        <f>IF(E46&lt;&gt;"",_xlfn.XLOOKUP(E46,'Parametre Gantt'!$G$3:$G$17,'Parametre Gantt'!$F$3:$F$17,""),0)</f>
        <v>0</v>
      </c>
      <c r="E46" s="17"/>
      <c r="F46" s="56" t="str">
        <f>_xlfn.XLOOKUP(E46,'Parametre Gantt'!$G$3:$G$17,'Parametre Gantt'!$H$3:$H$17,"")</f>
        <v/>
      </c>
      <c r="G46" s="18"/>
      <c r="H46" s="18"/>
      <c r="I46" s="64"/>
      <c r="J46" s="21"/>
      <c r="K46" s="34"/>
      <c r="L46" s="18"/>
      <c r="M46" s="18"/>
      <c r="N46" s="25"/>
      <c r="O46" s="34"/>
      <c r="P46" s="65"/>
      <c r="Q46" s="23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</row>
    <row r="47" spans="1:82" ht="24.95" customHeight="1" x14ac:dyDescent="0.25">
      <c r="A47" s="38">
        <v>21.6</v>
      </c>
      <c r="B47" s="16"/>
      <c r="C47" s="17"/>
      <c r="D47" s="26">
        <f>IF(E47&lt;&gt;"",_xlfn.XLOOKUP(E47,'Parametre Gantt'!$G$3:$G$17,'Parametre Gantt'!$F$3:$F$17,""),0)</f>
        <v>0</v>
      </c>
      <c r="E47" s="17"/>
      <c r="F47" s="56" t="str">
        <f>_xlfn.XLOOKUP(E47,'Parametre Gantt'!$G$3:$G$17,'Parametre Gantt'!$H$3:$H$17,"")</f>
        <v/>
      </c>
      <c r="G47" s="18"/>
      <c r="H47" s="18"/>
      <c r="I47" s="64"/>
      <c r="J47" s="21"/>
      <c r="K47" s="34"/>
      <c r="L47" s="18"/>
      <c r="M47" s="18"/>
      <c r="N47" s="25"/>
      <c r="O47" s="34"/>
      <c r="P47" s="65"/>
      <c r="Q47" s="23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</row>
    <row r="48" spans="1:82" ht="24.95" customHeight="1" x14ac:dyDescent="0.25">
      <c r="A48" s="38">
        <v>21.7</v>
      </c>
      <c r="B48" s="16"/>
      <c r="C48" s="17"/>
      <c r="D48" s="26">
        <f>IF(E48&lt;&gt;"",_xlfn.XLOOKUP(E48,'Parametre Gantt'!$G$3:$G$17,'Parametre Gantt'!$F$3:$F$17,""),0)</f>
        <v>0</v>
      </c>
      <c r="E48" s="17"/>
      <c r="F48" s="56" t="str">
        <f>_xlfn.XLOOKUP(E48,'Parametre Gantt'!$G$3:$G$17,'Parametre Gantt'!$H$3:$H$17,"")</f>
        <v/>
      </c>
      <c r="G48" s="18"/>
      <c r="H48" s="18"/>
      <c r="I48" s="64"/>
      <c r="J48" s="21"/>
      <c r="K48" s="34"/>
      <c r="L48" s="18"/>
      <c r="M48" s="18"/>
      <c r="N48" s="25"/>
      <c r="O48" s="34"/>
      <c r="P48" s="65"/>
      <c r="Q48" s="23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</row>
    <row r="49" spans="1:77" ht="24.95" customHeight="1" x14ac:dyDescent="0.25">
      <c r="A49" s="38">
        <v>21.8</v>
      </c>
      <c r="B49" s="16"/>
      <c r="C49" s="17"/>
      <c r="D49" s="26">
        <f>IF(E49&lt;&gt;"",_xlfn.XLOOKUP(E49,'Parametre Gantt'!$G$3:$G$17,'Parametre Gantt'!$F$3:$F$17,""),0)</f>
        <v>0</v>
      </c>
      <c r="E49" s="17"/>
      <c r="F49" s="56" t="str">
        <f>_xlfn.XLOOKUP(E49,'Parametre Gantt'!$G$3:$G$17,'Parametre Gantt'!$H$3:$H$17,"")</f>
        <v/>
      </c>
      <c r="G49" s="18"/>
      <c r="H49" s="18"/>
      <c r="I49" s="64"/>
      <c r="J49" s="21"/>
      <c r="K49" s="34"/>
      <c r="L49" s="18"/>
      <c r="M49" s="18"/>
      <c r="N49" s="25"/>
      <c r="O49" s="34"/>
      <c r="P49" s="65"/>
      <c r="Q49" s="23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</row>
    <row r="50" spans="1:77" ht="24.95" customHeight="1" x14ac:dyDescent="0.25">
      <c r="A50" s="38">
        <v>21.9</v>
      </c>
      <c r="B50" s="16"/>
      <c r="C50" s="17"/>
      <c r="D50" s="26">
        <f>IF(E50&lt;&gt;"",_xlfn.XLOOKUP(E50,'Parametre Gantt'!$G$3:$G$17,'Parametre Gantt'!$F$3:$F$17,""),0)</f>
        <v>0</v>
      </c>
      <c r="E50" s="17"/>
      <c r="F50" s="56" t="str">
        <f>_xlfn.XLOOKUP(E50,'Parametre Gantt'!$G$3:$G$17,'Parametre Gantt'!$H$3:$H$17,"")</f>
        <v/>
      </c>
      <c r="G50" s="18"/>
      <c r="H50" s="18"/>
      <c r="I50" s="64"/>
      <c r="J50" s="21"/>
      <c r="K50" s="34"/>
      <c r="L50" s="18"/>
      <c r="M50" s="18"/>
      <c r="N50" s="25"/>
      <c r="O50" s="34"/>
      <c r="P50" s="65"/>
      <c r="Q50" s="23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</row>
    <row r="51" spans="1:77" ht="24.75" customHeight="1" x14ac:dyDescent="0.25">
      <c r="A51" s="38">
        <v>21.1</v>
      </c>
      <c r="B51" s="16"/>
      <c r="C51" s="17"/>
      <c r="D51" s="26">
        <f>IF(E51&lt;&gt;"",_xlfn.XLOOKUP(E51,'Parametre Gantt'!$G$3:$G$17,'Parametre Gantt'!$F$3:$F$17,""),0)</f>
        <v>0</v>
      </c>
      <c r="E51" s="17"/>
      <c r="F51" s="56" t="str">
        <f>_xlfn.XLOOKUP(E51,'Parametre Gantt'!$G$3:$G$17,'Parametre Gantt'!$H$3:$H$17,"")</f>
        <v/>
      </c>
      <c r="G51" s="18"/>
      <c r="H51" s="18"/>
      <c r="I51" s="64"/>
      <c r="J51" s="21"/>
      <c r="K51" s="34"/>
      <c r="L51" s="18"/>
      <c r="M51" s="18"/>
      <c r="N51" s="25"/>
      <c r="O51" s="34"/>
      <c r="P51" s="65"/>
      <c r="Q51" s="23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</row>
    <row r="52" spans="1:77" ht="24.75" customHeight="1" x14ac:dyDescent="0.25">
      <c r="A52" s="38">
        <v>21.11</v>
      </c>
      <c r="B52" s="16"/>
      <c r="C52" s="17"/>
      <c r="D52" s="26">
        <f>IF(E52&lt;&gt;"",_xlfn.XLOOKUP(E52,'Parametre Gantt'!$G$3:$G$17,'Parametre Gantt'!$F$3:$F$17,""),0)</f>
        <v>0</v>
      </c>
      <c r="E52" s="17"/>
      <c r="F52" s="56" t="str">
        <f>_xlfn.XLOOKUP(E52,'Parametre Gantt'!$G$3:$G$17,'Parametre Gantt'!$H$3:$H$17,"")</f>
        <v/>
      </c>
      <c r="G52" s="18"/>
      <c r="H52" s="18"/>
      <c r="I52" s="64"/>
      <c r="J52" s="21"/>
      <c r="K52" s="34"/>
      <c r="L52" s="18"/>
      <c r="M52" s="18"/>
      <c r="N52" s="25"/>
      <c r="O52" s="34"/>
      <c r="P52" s="65"/>
      <c r="Q52" s="23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</row>
    <row r="53" spans="1:77" ht="24.75" customHeight="1" x14ac:dyDescent="0.25">
      <c r="A53" s="38">
        <v>21.12</v>
      </c>
      <c r="B53" s="16"/>
      <c r="C53" s="17"/>
      <c r="D53" s="26">
        <f>IF(E53&lt;&gt;"",_xlfn.XLOOKUP(E53,'Parametre Gantt'!$G$3:$G$17,'Parametre Gantt'!$F$3:$F$17,""),0)</f>
        <v>0</v>
      </c>
      <c r="E53" s="17"/>
      <c r="F53" s="56" t="str">
        <f>_xlfn.XLOOKUP(E53,'Parametre Gantt'!$G$3:$G$17,'Parametre Gantt'!$H$3:$H$17,"")</f>
        <v/>
      </c>
      <c r="G53" s="18"/>
      <c r="H53" s="18"/>
      <c r="I53" s="64"/>
      <c r="J53" s="21"/>
      <c r="K53" s="34"/>
      <c r="L53" s="18"/>
      <c r="M53" s="18"/>
      <c r="N53" s="25"/>
      <c r="O53" s="34"/>
      <c r="P53" s="65"/>
      <c r="Q53" s="23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</row>
    <row r="54" spans="1:77" ht="24.75" customHeight="1" x14ac:dyDescent="0.25">
      <c r="A54" s="38">
        <v>21.13</v>
      </c>
      <c r="B54" s="16"/>
      <c r="C54" s="17"/>
      <c r="D54" s="26">
        <f>IF(E54&lt;&gt;"",_xlfn.XLOOKUP(E54,'Parametre Gantt'!$G$3:$G$17,'Parametre Gantt'!$F$3:$F$17,""),0)</f>
        <v>0</v>
      </c>
      <c r="E54" s="17"/>
      <c r="F54" s="56" t="str">
        <f>_xlfn.XLOOKUP(E54,'Parametre Gantt'!$G$3:$G$17,'Parametre Gantt'!$H$3:$H$17,"")</f>
        <v/>
      </c>
      <c r="G54" s="18"/>
      <c r="H54" s="18"/>
      <c r="I54" s="64"/>
      <c r="J54" s="21"/>
      <c r="K54" s="34"/>
      <c r="L54" s="18"/>
      <c r="M54" s="18"/>
      <c r="N54" s="25"/>
      <c r="O54" s="34"/>
      <c r="P54" s="65"/>
      <c r="Q54" s="23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</row>
    <row r="55" spans="1:77" ht="24.75" customHeight="1" x14ac:dyDescent="0.25">
      <c r="A55" s="38">
        <v>21.14</v>
      </c>
      <c r="B55" s="16"/>
      <c r="C55" s="17"/>
      <c r="D55" s="26">
        <f>IF(E55&lt;&gt;"",_xlfn.XLOOKUP(E55,'Parametre Gantt'!$G$3:$G$17,'Parametre Gantt'!$F$3:$F$17,""),0)</f>
        <v>0</v>
      </c>
      <c r="E55" s="17"/>
      <c r="F55" s="56" t="str">
        <f>_xlfn.XLOOKUP(E55,'Parametre Gantt'!$G$3:$G$17,'Parametre Gantt'!$H$3:$H$17,"")</f>
        <v/>
      </c>
      <c r="G55" s="18"/>
      <c r="H55" s="18"/>
      <c r="I55" s="64"/>
      <c r="J55" s="21"/>
      <c r="K55" s="34"/>
      <c r="L55" s="18"/>
      <c r="M55" s="18"/>
      <c r="N55" s="25"/>
      <c r="O55" s="34"/>
      <c r="P55" s="65"/>
      <c r="Q55" s="23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</row>
    <row r="56" spans="1:77" ht="24.75" customHeight="1" x14ac:dyDescent="0.25">
      <c r="A56" s="38">
        <v>21.15</v>
      </c>
      <c r="B56" s="16"/>
      <c r="C56" s="17"/>
      <c r="D56" s="26">
        <f>IF(E56&lt;&gt;"",_xlfn.XLOOKUP(E56,'Parametre Gantt'!$G$3:$G$17,'Parametre Gantt'!$F$3:$F$17,""),0)</f>
        <v>0</v>
      </c>
      <c r="E56" s="17"/>
      <c r="F56" s="56" t="str">
        <f>_xlfn.XLOOKUP(E56,'Parametre Gantt'!$G$3:$G$17,'Parametre Gantt'!$H$3:$H$17,"")</f>
        <v/>
      </c>
      <c r="G56" s="18"/>
      <c r="H56" s="18"/>
      <c r="I56" s="64"/>
      <c r="J56" s="21"/>
      <c r="K56" s="34"/>
      <c r="L56" s="18"/>
      <c r="M56" s="18"/>
      <c r="N56" s="25"/>
      <c r="O56" s="34"/>
      <c r="P56" s="65"/>
      <c r="Q56" s="23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</row>
    <row r="57" spans="1:77" ht="24.75" customHeight="1" x14ac:dyDescent="0.25">
      <c r="A57" s="38">
        <v>21.16</v>
      </c>
      <c r="B57" s="16"/>
      <c r="C57" s="17"/>
      <c r="D57" s="26">
        <f>IF(E57&lt;&gt;"",_xlfn.XLOOKUP(E57,'Parametre Gantt'!$G$3:$G$17,'Parametre Gantt'!$F$3:$F$17,""),0)</f>
        <v>0</v>
      </c>
      <c r="E57" s="17"/>
      <c r="F57" s="56" t="str">
        <f>_xlfn.XLOOKUP(E57,'Parametre Gantt'!$G$3:$G$17,'Parametre Gantt'!$H$3:$H$17,"")</f>
        <v/>
      </c>
      <c r="G57" s="18"/>
      <c r="H57" s="18"/>
      <c r="I57" s="64"/>
      <c r="J57" s="21"/>
      <c r="K57" s="34"/>
      <c r="L57" s="18"/>
      <c r="M57" s="18"/>
      <c r="N57" s="25"/>
      <c r="O57" s="34"/>
      <c r="P57" s="65"/>
      <c r="Q57" s="23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</row>
    <row r="58" spans="1:77" ht="24.95" customHeight="1" x14ac:dyDescent="0.25">
      <c r="A58" s="38">
        <v>21.17</v>
      </c>
      <c r="B58" s="16"/>
      <c r="C58" s="17"/>
      <c r="D58" s="26">
        <f>IF(E58&lt;&gt;"",_xlfn.XLOOKUP(E58,'Parametre Gantt'!$G$3:$G$17,'Parametre Gantt'!$F$3:$F$17,""),0)</f>
        <v>0</v>
      </c>
      <c r="E58" s="17"/>
      <c r="F58" s="56" t="str">
        <f>_xlfn.XLOOKUP(E58,'Parametre Gantt'!$G$3:$G$17,'Parametre Gantt'!$H$3:$H$17,"")</f>
        <v/>
      </c>
      <c r="G58" s="18"/>
      <c r="H58" s="18"/>
      <c r="I58" s="64"/>
      <c r="J58" s="21"/>
      <c r="K58" s="34"/>
      <c r="L58" s="18"/>
      <c r="M58" s="18"/>
      <c r="N58" s="25"/>
      <c r="O58" s="34"/>
      <c r="P58" s="65"/>
      <c r="Q58" s="23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</row>
    <row r="59" spans="1:77" ht="24.95" customHeight="1" x14ac:dyDescent="0.25">
      <c r="A59" s="38">
        <v>21.18</v>
      </c>
      <c r="B59" s="16"/>
      <c r="C59" s="17"/>
      <c r="D59" s="26">
        <f>IF(E59&lt;&gt;"",_xlfn.XLOOKUP(E59,'Parametre Gantt'!$G$3:$G$17,'Parametre Gantt'!$F$3:$F$17,""),0)</f>
        <v>0</v>
      </c>
      <c r="E59" s="17"/>
      <c r="F59" s="56" t="str">
        <f>_xlfn.XLOOKUP(E59,'Parametre Gantt'!$G$3:$G$17,'Parametre Gantt'!$H$3:$H$17,"")</f>
        <v/>
      </c>
      <c r="G59" s="18"/>
      <c r="H59" s="18"/>
      <c r="I59" s="64"/>
      <c r="J59" s="21"/>
      <c r="K59" s="34"/>
      <c r="L59" s="18"/>
      <c r="M59" s="18"/>
      <c r="N59" s="25"/>
      <c r="O59" s="34"/>
      <c r="P59" s="65"/>
      <c r="Q59" s="23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</row>
    <row r="60" spans="1:77" ht="24.95" customHeight="1" x14ac:dyDescent="0.25">
      <c r="A60" s="38"/>
      <c r="B60" s="16"/>
      <c r="C60" s="17"/>
      <c r="D60" s="26">
        <f>IF(E60&lt;&gt;"",_xlfn.XLOOKUP(E60,'Parametre Gantt'!$G$3:$G$17,'Parametre Gantt'!$F$3:$F$17,""),0)</f>
        <v>0</v>
      </c>
      <c r="E60" s="17"/>
      <c r="F60" s="56" t="str">
        <f>_xlfn.XLOOKUP(E60,'Parametre Gantt'!$G$3:$G$17,'Parametre Gantt'!$H$3:$H$17,"")</f>
        <v/>
      </c>
      <c r="G60" s="18"/>
      <c r="H60" s="18"/>
      <c r="I60" s="64"/>
      <c r="J60" s="21"/>
      <c r="K60" s="34" t="str">
        <f t="shared" si="35"/>
        <v/>
      </c>
      <c r="L60" s="18"/>
      <c r="M60" s="18"/>
      <c r="N60" s="25"/>
      <c r="O60" s="34" t="str">
        <f t="shared" si="36"/>
        <v/>
      </c>
      <c r="P60" s="65"/>
      <c r="Q60" s="23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</row>
    <row r="61" spans="1:77" ht="24.95" customHeight="1" x14ac:dyDescent="0.25">
      <c r="A61" s="38"/>
      <c r="B61" s="16"/>
      <c r="C61" s="17"/>
      <c r="D61" s="26">
        <f>IF(E61&lt;&gt;"",_xlfn.XLOOKUP(E61,'Parametre Gantt'!$G$3:$G$17,'Parametre Gantt'!$F$3:$F$17,""),0)</f>
        <v>0</v>
      </c>
      <c r="E61" s="17"/>
      <c r="F61" s="56" t="str">
        <f>_xlfn.XLOOKUP(E61,'Parametre Gantt'!$G$3:$G$17,'Parametre Gantt'!$H$3:$H$17,"")</f>
        <v/>
      </c>
      <c r="G61" s="18"/>
      <c r="H61" s="18"/>
      <c r="I61" s="64"/>
      <c r="J61" s="21"/>
      <c r="K61" s="34"/>
      <c r="L61" s="18"/>
      <c r="M61" s="18"/>
      <c r="N61" s="25"/>
      <c r="O61" s="34"/>
      <c r="P61" s="65"/>
      <c r="Q61" s="23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</row>
    <row r="62" spans="1:77" ht="24.95" customHeight="1" x14ac:dyDescent="0.25">
      <c r="A62" s="38"/>
      <c r="B62" s="16"/>
      <c r="C62" s="17"/>
      <c r="D62" s="26">
        <f>IF(E62&lt;&gt;"",_xlfn.XLOOKUP(E62,'Parametre Gantt'!$G$3:$G$17,'Parametre Gantt'!$F$3:$F$17,""),0)</f>
        <v>0</v>
      </c>
      <c r="E62" s="17"/>
      <c r="F62" s="56" t="str">
        <f>_xlfn.XLOOKUP(E62,'Parametre Gantt'!$G$3:$G$17,'Parametre Gantt'!$H$3:$H$17,"")</f>
        <v/>
      </c>
      <c r="G62" s="18"/>
      <c r="H62" s="18"/>
      <c r="I62" s="64"/>
      <c r="J62" s="21"/>
      <c r="K62" s="34" t="str">
        <f t="shared" si="35"/>
        <v/>
      </c>
      <c r="L62" s="18"/>
      <c r="M62" s="18"/>
      <c r="N62" s="25"/>
      <c r="O62" s="34" t="str">
        <f t="shared" si="36"/>
        <v/>
      </c>
      <c r="P62" s="65"/>
      <c r="Q62" s="23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</row>
    <row r="63" spans="1:77" ht="24.95" customHeight="1" x14ac:dyDescent="0.25">
      <c r="A63" s="38"/>
      <c r="B63" s="16"/>
      <c r="C63" s="17"/>
      <c r="D63" s="26">
        <f>IF(E63&lt;&gt;"",_xlfn.XLOOKUP(E63,'Parametre Gantt'!$G$3:$G$17,'Parametre Gantt'!$F$3:$F$17,""),0)</f>
        <v>0</v>
      </c>
      <c r="E63" s="17"/>
      <c r="F63" s="56" t="str">
        <f>_xlfn.XLOOKUP(E63,'Parametre Gantt'!$G$3:$G$17,'Parametre Gantt'!$H$3:$H$17,"")</f>
        <v/>
      </c>
      <c r="G63" s="18"/>
      <c r="H63" s="18"/>
      <c r="I63" s="64"/>
      <c r="J63" s="21"/>
      <c r="K63" s="34" t="str">
        <f t="shared" si="35"/>
        <v/>
      </c>
      <c r="L63" s="18"/>
      <c r="M63" s="18"/>
      <c r="N63" s="25"/>
      <c r="O63" s="34" t="str">
        <f t="shared" si="36"/>
        <v/>
      </c>
      <c r="P63" s="65"/>
      <c r="Q63" s="23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</row>
    <row r="64" spans="1:77" ht="24.95" customHeight="1" x14ac:dyDescent="0.25">
      <c r="A64" s="38"/>
      <c r="B64" s="16"/>
      <c r="C64" s="17"/>
      <c r="D64" s="26">
        <f>IF(E64&lt;&gt;"",_xlfn.XLOOKUP(E64,'Parametre Gantt'!$G$3:$G$17,'Parametre Gantt'!$F$3:$F$17,""),0)</f>
        <v>0</v>
      </c>
      <c r="E64" s="17"/>
      <c r="F64" s="56" t="str">
        <f>_xlfn.XLOOKUP(E64,'Parametre Gantt'!$G$3:$G$17,'Parametre Gantt'!$H$3:$H$17,"")</f>
        <v/>
      </c>
      <c r="G64" s="18"/>
      <c r="H64" s="18"/>
      <c r="I64" s="64"/>
      <c r="J64" s="21"/>
      <c r="K64" s="34" t="str">
        <f t="shared" si="35"/>
        <v/>
      </c>
      <c r="L64" s="18"/>
      <c r="M64" s="18"/>
      <c r="N64" s="25"/>
      <c r="O64" s="34" t="str">
        <f t="shared" si="36"/>
        <v/>
      </c>
      <c r="P64" s="65"/>
      <c r="Q64" s="23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</row>
    <row r="65" spans="1:77" x14ac:dyDescent="0.25">
      <c r="A65" s="50"/>
      <c r="B65" s="50"/>
      <c r="C65" s="50"/>
      <c r="D65" s="51"/>
      <c r="E65" s="50"/>
      <c r="F65" s="52"/>
      <c r="G65" s="50"/>
      <c r="H65" s="50"/>
      <c r="I65" s="50"/>
      <c r="J65" s="50"/>
      <c r="K65" s="53">
        <f>SUM(K14:K64)</f>
        <v>127</v>
      </c>
      <c r="L65" s="50"/>
      <c r="M65" s="50"/>
      <c r="N65" s="50">
        <f>SUM(N14:N64)</f>
        <v>0</v>
      </c>
      <c r="O65" s="53">
        <f>SUM(O14:O64)</f>
        <v>0</v>
      </c>
      <c r="P65" s="53"/>
      <c r="Q65" s="50"/>
      <c r="R65" s="54" t="str">
        <f t="shared" ref="R65:AT65" ca="1" si="37">IF(R9=TODAY(),"TD","")</f>
        <v/>
      </c>
      <c r="S65" s="54" t="str">
        <f t="shared" ca="1" si="37"/>
        <v/>
      </c>
      <c r="T65" s="54" t="str">
        <f t="shared" ca="1" si="37"/>
        <v/>
      </c>
      <c r="U65" s="54" t="str">
        <f t="shared" ca="1" si="37"/>
        <v/>
      </c>
      <c r="V65" s="54" t="str">
        <f t="shared" ca="1" si="37"/>
        <v/>
      </c>
      <c r="W65" s="54" t="str">
        <f t="shared" ca="1" si="37"/>
        <v/>
      </c>
      <c r="X65" s="54" t="str">
        <f t="shared" ca="1" si="37"/>
        <v/>
      </c>
      <c r="Y65" s="54" t="str">
        <f t="shared" ca="1" si="37"/>
        <v/>
      </c>
      <c r="Z65" s="54" t="str">
        <f t="shared" ca="1" si="37"/>
        <v/>
      </c>
      <c r="AA65" s="54" t="str">
        <f t="shared" ca="1" si="37"/>
        <v>TD</v>
      </c>
      <c r="AB65" s="54" t="str">
        <f t="shared" ca="1" si="37"/>
        <v/>
      </c>
      <c r="AC65" s="54" t="str">
        <f t="shared" ca="1" si="37"/>
        <v/>
      </c>
      <c r="AD65" s="54" t="str">
        <f t="shared" ca="1" si="37"/>
        <v/>
      </c>
      <c r="AE65" s="54" t="str">
        <f t="shared" ca="1" si="37"/>
        <v/>
      </c>
      <c r="AF65" s="54" t="str">
        <f t="shared" ca="1" si="37"/>
        <v/>
      </c>
      <c r="AG65" s="54" t="str">
        <f t="shared" ca="1" si="37"/>
        <v/>
      </c>
      <c r="AH65" s="54" t="str">
        <f t="shared" ca="1" si="37"/>
        <v/>
      </c>
      <c r="AI65" s="54" t="str">
        <f t="shared" ca="1" si="37"/>
        <v/>
      </c>
      <c r="AJ65" s="54" t="str">
        <f t="shared" ca="1" si="37"/>
        <v/>
      </c>
      <c r="AK65" s="54" t="str">
        <f t="shared" ca="1" si="37"/>
        <v/>
      </c>
      <c r="AL65" s="54" t="str">
        <f t="shared" ca="1" si="37"/>
        <v/>
      </c>
      <c r="AM65" s="54" t="str">
        <f t="shared" ca="1" si="37"/>
        <v/>
      </c>
      <c r="AN65" s="54" t="str">
        <f t="shared" ca="1" si="37"/>
        <v/>
      </c>
      <c r="AO65" s="54" t="str">
        <f t="shared" ca="1" si="37"/>
        <v/>
      </c>
      <c r="AP65" s="54" t="str">
        <f t="shared" ca="1" si="37"/>
        <v/>
      </c>
      <c r="AQ65" s="54" t="str">
        <f t="shared" ca="1" si="37"/>
        <v/>
      </c>
      <c r="AR65" s="54" t="str">
        <f t="shared" ca="1" si="37"/>
        <v/>
      </c>
      <c r="AS65" s="54" t="str">
        <f t="shared" ca="1" si="37"/>
        <v/>
      </c>
      <c r="AT65" s="54" t="str">
        <f t="shared" ca="1" si="37"/>
        <v/>
      </c>
      <c r="AU65" s="54" t="str">
        <f ca="1">IF(AU9=TODAY(),"TD","")</f>
        <v/>
      </c>
      <c r="AV65" s="54" t="str">
        <f t="shared" ref="AV65:BY65" ca="1" si="38">IF(AV9=TODAY(),"TD","")</f>
        <v/>
      </c>
      <c r="AW65" s="54" t="str">
        <f t="shared" ca="1" si="38"/>
        <v/>
      </c>
      <c r="AX65" s="54" t="str">
        <f t="shared" ca="1" si="38"/>
        <v/>
      </c>
      <c r="AY65" s="54" t="str">
        <f t="shared" ca="1" si="38"/>
        <v/>
      </c>
      <c r="AZ65" s="54" t="str">
        <f t="shared" ca="1" si="38"/>
        <v/>
      </c>
      <c r="BA65" s="54" t="str">
        <f t="shared" ca="1" si="38"/>
        <v/>
      </c>
      <c r="BB65" s="54" t="str">
        <f t="shared" ca="1" si="38"/>
        <v/>
      </c>
      <c r="BC65" s="54" t="str">
        <f t="shared" ca="1" si="38"/>
        <v/>
      </c>
      <c r="BD65" s="54" t="str">
        <f t="shared" ca="1" si="38"/>
        <v/>
      </c>
      <c r="BE65" s="54" t="str">
        <f t="shared" ca="1" si="38"/>
        <v/>
      </c>
      <c r="BF65" s="54" t="str">
        <f t="shared" ca="1" si="38"/>
        <v/>
      </c>
      <c r="BG65" s="54" t="str">
        <f t="shared" ca="1" si="38"/>
        <v/>
      </c>
      <c r="BH65" s="54" t="str">
        <f t="shared" ca="1" si="38"/>
        <v/>
      </c>
      <c r="BI65" s="54" t="str">
        <f t="shared" ca="1" si="38"/>
        <v/>
      </c>
      <c r="BJ65" s="54" t="str">
        <f t="shared" ca="1" si="38"/>
        <v/>
      </c>
      <c r="BK65" s="54" t="str">
        <f t="shared" ca="1" si="38"/>
        <v/>
      </c>
      <c r="BL65" s="54" t="str">
        <f t="shared" ca="1" si="38"/>
        <v/>
      </c>
      <c r="BM65" s="54" t="str">
        <f t="shared" ca="1" si="38"/>
        <v/>
      </c>
      <c r="BN65" s="54" t="str">
        <f t="shared" ca="1" si="38"/>
        <v/>
      </c>
      <c r="BO65" s="54" t="str">
        <f t="shared" ca="1" si="38"/>
        <v/>
      </c>
      <c r="BP65" s="54" t="str">
        <f t="shared" ca="1" si="38"/>
        <v/>
      </c>
      <c r="BQ65" s="54" t="str">
        <f t="shared" ca="1" si="38"/>
        <v/>
      </c>
      <c r="BR65" s="54" t="str">
        <f t="shared" ca="1" si="38"/>
        <v/>
      </c>
      <c r="BS65" s="54" t="str">
        <f t="shared" ca="1" si="38"/>
        <v/>
      </c>
      <c r="BT65" s="54" t="str">
        <f t="shared" ca="1" si="38"/>
        <v/>
      </c>
      <c r="BU65" s="54" t="str">
        <f t="shared" ca="1" si="38"/>
        <v/>
      </c>
      <c r="BV65" s="54" t="str">
        <f t="shared" ca="1" si="38"/>
        <v/>
      </c>
      <c r="BW65" s="54" t="str">
        <f t="shared" ca="1" si="38"/>
        <v/>
      </c>
      <c r="BX65" s="54" t="str">
        <f t="shared" ca="1" si="38"/>
        <v/>
      </c>
      <c r="BY65" s="55" t="str">
        <f t="shared" ca="1" si="38"/>
        <v/>
      </c>
    </row>
    <row r="67" spans="1:77" x14ac:dyDescent="0.25">
      <c r="C67" s="61"/>
    </row>
  </sheetData>
  <mergeCells count="105">
    <mergeCell ref="BQ5:BX5"/>
    <mergeCell ref="BP6:BS6"/>
    <mergeCell ref="B2:E3"/>
    <mergeCell ref="L12:M12"/>
    <mergeCell ref="BF8:BJ8"/>
    <mergeCell ref="BE9:BE11"/>
    <mergeCell ref="BF9:BF11"/>
    <mergeCell ref="BG9:BG11"/>
    <mergeCell ref="BH9:BH11"/>
    <mergeCell ref="BI9:BI11"/>
    <mergeCell ref="AU9:AU11"/>
    <mergeCell ref="AT9:AT11"/>
    <mergeCell ref="AQ9:AQ11"/>
    <mergeCell ref="AR9:AR11"/>
    <mergeCell ref="AS9:AS11"/>
    <mergeCell ref="AK9:AK11"/>
    <mergeCell ref="AJ2:BY3"/>
    <mergeCell ref="BU9:BU11"/>
    <mergeCell ref="BV9:BV11"/>
    <mergeCell ref="BW9:BW11"/>
    <mergeCell ref="BX9:BX11"/>
    <mergeCell ref="BY9:BY11"/>
    <mergeCell ref="BP8:BT8"/>
    <mergeCell ref="BP9:BP11"/>
    <mergeCell ref="BK8:BO8"/>
    <mergeCell ref="B5:C5"/>
    <mergeCell ref="B6:C6"/>
    <mergeCell ref="BM9:BM11"/>
    <mergeCell ref="BN9:BN11"/>
    <mergeCell ref="BO9:BO11"/>
    <mergeCell ref="BB9:BB11"/>
    <mergeCell ref="AW9:AW11"/>
    <mergeCell ref="AL9:AL11"/>
    <mergeCell ref="AM9:AM11"/>
    <mergeCell ref="AN9:AN11"/>
    <mergeCell ref="AO9:AO11"/>
    <mergeCell ref="AP9:AP11"/>
    <mergeCell ref="BL9:BL11"/>
    <mergeCell ref="BC9:BC11"/>
    <mergeCell ref="BD9:BD11"/>
    <mergeCell ref="AQ8:AU8"/>
    <mergeCell ref="AV8:AZ8"/>
    <mergeCell ref="BA8:BE8"/>
    <mergeCell ref="R5:Z5"/>
    <mergeCell ref="AA5:AD5"/>
    <mergeCell ref="AE5:AJ5"/>
    <mergeCell ref="AN5:BM5"/>
    <mergeCell ref="R13:V13"/>
    <mergeCell ref="W13:AA13"/>
    <mergeCell ref="AB13:AF13"/>
    <mergeCell ref="AG13:AK13"/>
    <mergeCell ref="AL13:AP13"/>
    <mergeCell ref="AQ13:AU13"/>
    <mergeCell ref="B8:C8"/>
    <mergeCell ref="R9:R11"/>
    <mergeCell ref="S9:S11"/>
    <mergeCell ref="T9:T11"/>
    <mergeCell ref="U9:U11"/>
    <mergeCell ref="AF9:AF11"/>
    <mergeCell ref="AG9:AG11"/>
    <mergeCell ref="AH9:AH11"/>
    <mergeCell ref="AI9:AI11"/>
    <mergeCell ref="R8:V8"/>
    <mergeCell ref="W8:AA8"/>
    <mergeCell ref="AB8:AF8"/>
    <mergeCell ref="AG8:AK8"/>
    <mergeCell ref="B12:E12"/>
    <mergeCell ref="C10:M10"/>
    <mergeCell ref="G12:I12"/>
    <mergeCell ref="BR9:BR11"/>
    <mergeCell ref="BS9:BS11"/>
    <mergeCell ref="BT9:BT11"/>
    <mergeCell ref="AA9:AA11"/>
    <mergeCell ref="AB9:AB11"/>
    <mergeCell ref="AC9:AC11"/>
    <mergeCell ref="AD9:AD11"/>
    <mergeCell ref="AE9:AE11"/>
    <mergeCell ref="V9:V11"/>
    <mergeCell ref="W9:W11"/>
    <mergeCell ref="BK9:BK11"/>
    <mergeCell ref="BQ9:BQ11"/>
    <mergeCell ref="AA4:AD4"/>
    <mergeCell ref="AE4:AJ4"/>
    <mergeCell ref="R6:Z6"/>
    <mergeCell ref="AA6:AE6"/>
    <mergeCell ref="BU8:BY8"/>
    <mergeCell ref="BP13:BT13"/>
    <mergeCell ref="BU13:BY13"/>
    <mergeCell ref="H2:V3"/>
    <mergeCell ref="BT6:BU6"/>
    <mergeCell ref="X9:X11"/>
    <mergeCell ref="Y9:Y11"/>
    <mergeCell ref="Z9:Z11"/>
    <mergeCell ref="AJ9:AJ11"/>
    <mergeCell ref="AV13:AZ13"/>
    <mergeCell ref="BA13:BE13"/>
    <mergeCell ref="BJ9:BJ11"/>
    <mergeCell ref="AX9:AX11"/>
    <mergeCell ref="AY9:AY11"/>
    <mergeCell ref="AZ9:AZ11"/>
    <mergeCell ref="BA9:BA11"/>
    <mergeCell ref="BF13:BJ13"/>
    <mergeCell ref="AV9:AV11"/>
    <mergeCell ref="BK13:BO13"/>
    <mergeCell ref="AL8:AP8"/>
  </mergeCells>
  <conditionalFormatting sqref="A14:A64">
    <cfRule type="expression" dxfId="36" priority="13">
      <formula>AND($AA$6=F14,F14&lt;&gt;0,F14&lt;&gt;"")</formula>
    </cfRule>
    <cfRule type="expression" dxfId="35" priority="69">
      <formula>$B14&lt;&gt;""</formula>
    </cfRule>
  </conditionalFormatting>
  <conditionalFormatting sqref="A14:BY64">
    <cfRule type="expression" dxfId="34" priority="3">
      <formula>$B$14&lt;&gt;""</formula>
    </cfRule>
  </conditionalFormatting>
  <conditionalFormatting sqref="C14:C64">
    <cfRule type="dataBar" priority="93">
      <dataBar>
        <cfvo type="min"/>
        <cfvo type="max"/>
        <color rgb="FF66FFFF"/>
      </dataBar>
      <extLst>
        <ext xmlns:x14="http://schemas.microsoft.com/office/spreadsheetml/2009/9/main" uri="{B025F937-C7B1-47D3-B67F-A62EFF666E3E}">
          <x14:id>{8DFD1D6D-8F3C-453E-B7B8-6DAA1647AE28}</x14:id>
        </ext>
      </extLst>
    </cfRule>
  </conditionalFormatting>
  <conditionalFormatting sqref="E14:E64">
    <cfRule type="expression" dxfId="33" priority="4">
      <formula>AND($AA$6=F14,F14&lt;&gt;0,F14&lt;&gt;"")</formula>
    </cfRule>
    <cfRule type="expression" dxfId="32" priority="5">
      <formula>D14=11</formula>
    </cfRule>
    <cfRule type="expression" dxfId="31" priority="6">
      <formula>D14=10</formula>
    </cfRule>
    <cfRule type="expression" dxfId="30" priority="7">
      <formula>D14=9</formula>
    </cfRule>
    <cfRule type="expression" dxfId="29" priority="8">
      <formula>D14=8</formula>
    </cfRule>
    <cfRule type="expression" dxfId="28" priority="14">
      <formula>D14=7</formula>
    </cfRule>
    <cfRule type="expression" dxfId="27" priority="19">
      <formula>D14=6</formula>
    </cfRule>
    <cfRule type="expression" dxfId="26" priority="20">
      <formula>D14=5</formula>
    </cfRule>
    <cfRule type="expression" dxfId="25" priority="21">
      <formula>D14=4</formula>
    </cfRule>
    <cfRule type="expression" dxfId="24" priority="22">
      <formula>D14 = 3</formula>
    </cfRule>
    <cfRule type="expression" dxfId="23" priority="23">
      <formula>D14 = 2</formula>
    </cfRule>
    <cfRule type="expression" dxfId="22" priority="24">
      <formula>D14 = 1</formula>
    </cfRule>
  </conditionalFormatting>
  <conditionalFormatting sqref="R8:BY8">
    <cfRule type="expression" dxfId="21" priority="29">
      <formula>MOD(MONTH(R9),2) = 0</formula>
    </cfRule>
  </conditionalFormatting>
  <conditionalFormatting sqref="R9:BY11">
    <cfRule type="expression" dxfId="20" priority="12" stopIfTrue="1">
      <formula>$CD$1</formula>
    </cfRule>
  </conditionalFormatting>
  <conditionalFormatting sqref="R9:BY12 R13 W13 AB13 AG13 AL13 AQ13 AV13 BA13 BF13 BK13 BP13 BU13 R14:BY64">
    <cfRule type="expression" dxfId="19" priority="2">
      <formula>R$12="V"</formula>
    </cfRule>
  </conditionalFormatting>
  <conditionalFormatting sqref="R14:BY64">
    <cfRule type="expression" dxfId="18" priority="10">
      <formula>AND($G14&lt;=R$9, $H14&gt;=R$9, $AA$6=$F14, $F14&lt;&gt;0, $F14&lt;&gt;"")</formula>
    </cfRule>
    <cfRule type="expression" dxfId="17" priority="11">
      <formula>AND($L14&lt;=R$9, $M14&gt;=R$9)</formula>
    </cfRule>
    <cfRule type="expression" dxfId="16" priority="72">
      <formula>AND($G14&lt;=R$9,$H14&gt;=R$9)</formula>
    </cfRule>
    <cfRule type="expression" dxfId="15" priority="73">
      <formula>AND(R$9=TODAY(), R$12="V")</formula>
    </cfRule>
    <cfRule type="expression" dxfId="14" priority="74">
      <formula>AND(R$9=TODAY(), R$12&lt;&gt;"V")</formula>
    </cfRule>
  </conditionalFormatting>
  <conditionalFormatting sqref="AN31">
    <cfRule type="expression" dxfId="13" priority="9">
      <formula>AND(R$9=TODAY(), R$12="V")</formula>
    </cfRule>
  </conditionalFormatting>
  <conditionalFormatting sqref="BP4">
    <cfRule type="colorScale" priority="43">
      <colorScale>
        <cfvo type="min"/>
        <cfvo type="max"/>
        <color theme="0"/>
        <color rgb="FF000099"/>
      </colorScale>
    </cfRule>
  </conditionalFormatting>
  <conditionalFormatting sqref="I14:I64">
    <cfRule type="expression" dxfId="12" priority="1">
      <formula>I14 &lt;&gt; ""</formula>
    </cfRule>
  </conditionalFormatting>
  <dataValidations count="16">
    <dataValidation type="date" allowBlank="1" showInputMessage="1" showErrorMessage="1" sqref="G8:I8" xr:uid="{E832781E-1B57-4798-B815-5E97F412A8F0}">
      <formula1>43831</formula1>
      <formula2>51501</formula2>
    </dataValidation>
    <dataValidation type="date" allowBlank="1" showInputMessage="1" showErrorMessage="1" errorTitle="entrez une date" sqref="N40 N30" xr:uid="{62AB0097-A0F0-4D55-A228-E50EE1D16DCA}">
      <formula1>Q19</formula1>
      <formula2>Q19+1000</formula2>
    </dataValidation>
    <dataValidation type="date" allowBlank="1" showInputMessage="1" showErrorMessage="1" errorTitle="entrez une date" sqref="N18 N32" xr:uid="{60FA747B-4C02-469B-B87D-90E3DA2D21A2}">
      <formula1>Q11</formula1>
      <formula2>Q11+1000</formula2>
    </dataValidation>
    <dataValidation type="date" allowBlank="1" showInputMessage="1" showErrorMessage="1" errorTitle="entrez une date" sqref="N37:N39 N41 N23:N24" xr:uid="{0DD587EB-E6F3-44F6-8BA1-748CE7BC66E6}">
      <formula1>Q13</formula1>
      <formula2>Q13+1000</formula2>
    </dataValidation>
    <dataValidation type="date" allowBlank="1" showInputMessage="1" showErrorMessage="1" errorTitle="entrez une date" sqref="N33:N36 N45:N50 N19:N22" xr:uid="{191B9208-2201-425D-B91D-6E685BF5D4EC}">
      <formula1>Q11</formula1>
      <formula2>Q11+1000</formula2>
    </dataValidation>
    <dataValidation type="date" allowBlank="1" showInputMessage="1" showErrorMessage="1" sqref="L14:M64 G14:H64 J14:J64" xr:uid="{BF60E6AE-7E5D-4721-8FB6-9A64CBD382C0}">
      <formula1>$H$8</formula1>
      <formula2>$H$8+1000</formula2>
    </dataValidation>
    <dataValidation type="date" allowBlank="1" showInputMessage="1" showErrorMessage="1" errorTitle="entrez une date" sqref="N60:N61" xr:uid="{065C4197-EE76-48C9-91D2-478E92F44A09}">
      <formula1>Q34</formula1>
      <formula2>Q34+1000</formula2>
    </dataValidation>
    <dataValidation type="date" allowBlank="1" showInputMessage="1" showErrorMessage="1" errorTitle="entrez une date" sqref="N62:N64 N59" xr:uid="{9A63CBDF-E623-4CF7-98B6-6F12A68EA260}">
      <formula1>Q37</formula1>
      <formula2>Q37+1000</formula2>
    </dataValidation>
    <dataValidation type="date" allowBlank="1" showInputMessage="1" showErrorMessage="1" errorTitle="entrez une date" sqref="N42:N44" xr:uid="{31ABC8B3-1D91-405D-BF32-769226770A90}">
      <formula1>Q33</formula1>
      <formula2>Q33+1000</formula2>
    </dataValidation>
    <dataValidation type="date" allowBlank="1" showInputMessage="1" showErrorMessage="1" errorTitle="entrez une date" sqref="N58" xr:uid="{76FF730F-76F3-4B45-B0D1-D2C6A2405415}">
      <formula1>Q35</formula1>
      <formula2>Q35+1000</formula2>
    </dataValidation>
    <dataValidation type="date" allowBlank="1" showInputMessage="1" showErrorMessage="1" errorTitle="entrez une date" sqref="N51:N52" xr:uid="{796BC3D8-B874-4B61-9EA2-1B127D63878C}">
      <formula1>Q34</formula1>
      <formula2>Q34+1000</formula2>
    </dataValidation>
    <dataValidation type="date" allowBlank="1" showInputMessage="1" showErrorMessage="1" errorTitle="entrez une date" sqref="N53:N57" xr:uid="{C34D8B04-B5A7-413D-B929-EE0C031D0723}">
      <formula1>Q37</formula1>
      <formula2>Q37+1000</formula2>
    </dataValidation>
    <dataValidation type="time" allowBlank="1" showInputMessage="1" showErrorMessage="1" sqref="I14:I64" xr:uid="{55553166-5870-46E4-A499-8D2054DC6447}">
      <formula1>0</formula1>
      <formula2>0.999305555555556</formula2>
    </dataValidation>
    <dataValidation type="date" allowBlank="1" showInputMessage="1" showErrorMessage="1" errorTitle="entrez une date" sqref="N14:N17" xr:uid="{6B250249-352E-4E21-BE6B-71A8FBD14357}">
      <formula1>Q8</formula1>
      <formula2>Q8+1000</formula2>
    </dataValidation>
    <dataValidation type="date" allowBlank="1" showInputMessage="1" showErrorMessage="1" errorTitle="entrez une date" sqref="N25:N29" xr:uid="{271C51C7-2454-4103-89A6-8E23A83A6260}">
      <formula1>Q12</formula1>
      <formula2>Q12+1000</formula2>
    </dataValidation>
    <dataValidation type="date" allowBlank="1" showInputMessage="1" showErrorMessage="1" errorTitle="entrez une date" sqref="N31" xr:uid="{7D945566-500D-4642-BBE6-A425C1FB2DD7}">
      <formula1>Q19</formula1>
      <formula2>Q19+1000</formula2>
    </dataValidation>
  </dataValidations>
  <pageMargins left="0.70866141732283472" right="0.70866141732283472" top="0.74803149606299213" bottom="0.74803149606299213" header="0.31496062992125984" footer="0.31496062992125984"/>
  <pageSetup paperSiz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roll Bar 1">
              <controlPr defaultSize="0" autoPict="0">
                <anchor moveWithCells="1">
                  <from>
                    <xdr:col>72</xdr:col>
                    <xdr:colOff>152400</xdr:colOff>
                    <xdr:row>4</xdr:row>
                    <xdr:rowOff>276225</xdr:rowOff>
                  </from>
                  <to>
                    <xdr:col>76</xdr:col>
                    <xdr:colOff>47625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DFD1D6D-8F3C-453E-B7B8-6DAA1647AE2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C14:C64</xm:sqref>
        </x14:conditionalFormatting>
        <x14:conditionalFormatting xmlns:xm="http://schemas.microsoft.com/office/excel/2006/main">
          <x14:cfRule type="expression" priority="15" id="{54CE8C67-0ED7-4072-AC94-435EE6955B96}">
            <xm:f>AND('Parametre Gantt'!$A$6&lt;&gt;0,'Parametre Gantt'!$A$6&lt;&gt;"",ISNUMBER(FIND(LOWER('Parametre Gantt'!$A$6), LOWER($B14))))</xm:f>
            <x14:dxf>
              <font>
                <color theme="1"/>
              </font>
              <fill>
                <patternFill>
                  <bgColor rgb="FFFFFF00"/>
                </patternFill>
              </fill>
            </x14:dxf>
          </x14:cfRule>
          <x14:cfRule type="expression" priority="66" id="{6E0C92F5-884C-463D-8B97-766C8C21D033}">
            <xm:f>AND('Parametre Gantt'!$A$5&lt;&gt;0,'Parametre Gantt'!$A$5&lt;&gt;"",ISNUMBER(FIND(LOWER('Parametre Gantt'!$A$5), LOWER($B14))))</xm:f>
            <x14:dxf>
              <fill>
                <patternFill>
                  <bgColor rgb="FF66FF66"/>
                </patternFill>
              </fill>
            </x14:dxf>
          </x14:cfRule>
          <x14:cfRule type="expression" priority="67" id="{4781A296-E8D9-4FB4-AD2A-DEADF9FAD0F7}">
            <xm:f>AND('Parametre Gantt'!$A$4&lt;&gt;0,'Parametre Gantt'!$A$4&lt;&gt;"",ISNUMBER(FIND(LOWER('Parametre Gantt'!$A$4), LOWER($B14))))</xm:f>
            <x14:dxf>
              <fill>
                <patternFill>
                  <bgColor rgb="FFFF0000"/>
                </patternFill>
              </fill>
            </x14:dxf>
          </x14:cfRule>
          <x14:cfRule type="expression" priority="68" id="{E8AE4B9A-A1DE-4563-9B1A-7E853AB9A97B}">
            <xm:f>AND('Parametre Gantt'!$A$3&lt;&gt;0,'Parametre Gantt'!$A$3&lt;&gt;"",ISNUMBER(FIND(LOWER('Parametre Gantt'!$A$3), LOWER($B14))))</xm:f>
            <x14:dxf>
              <fill>
                <patternFill>
                  <bgColor rgb="FF7030A0"/>
                </patternFill>
              </fill>
            </x14:dxf>
          </x14:cfRule>
          <xm:sqref>A14:A64</xm:sqref>
        </x14:conditionalFormatting>
        <x14:conditionalFormatting xmlns:xm="http://schemas.microsoft.com/office/excel/2006/main">
          <x14:cfRule type="expression" priority="16" id="{34AC648E-AAAD-4D13-B3DB-8F9FFD09E946}">
            <xm:f>AND('Parametre Gantt'!$A$6&lt;&gt;0,'Parametre Gantt'!$A$6&lt;&gt;"",AND($G14&lt;=R$9, $H14&gt;=R$9, ISNUMBER(FIND(LOWER('Parametre Gantt'!$A$6), LOWER($B14)))))</xm:f>
            <x14:dxf>
              <fill>
                <patternFill>
                  <bgColor rgb="FFFEFE00"/>
                </patternFill>
              </fill>
            </x14:dxf>
          </x14:cfRule>
          <x14:cfRule type="expression" priority="45" id="{00000000-000E-0000-0000-000004000000}">
            <xm:f>AND('Parametre Gantt'!$A$3&lt;&gt;0,'Parametre Gantt'!$A$3&lt;&gt;"",AND($G14&lt;=R$9, $H14&gt;=R$9, ISNUMBER(FIND(LOWER('Parametre Gantt'!$A$3), LOWER($B14)))))</xm:f>
            <x14:dxf>
              <fill>
                <patternFill>
                  <bgColor rgb="FF7030A0"/>
                </patternFill>
              </fill>
              <border>
                <left/>
                <right/>
                <top/>
                <bottom/>
              </border>
            </x14:dxf>
          </x14:cfRule>
          <x14:cfRule type="expression" priority="70" id="{05D38978-C4C0-4011-97B7-B37C8BE247CF}">
            <xm:f>AND('Parametre Gantt'!$A$4&lt;&gt;0,'Parametre Gantt'!$A$4&lt;&gt;"",AND($G14&lt;=R$9, $H14&gt;=R$9, ISNUMBER(FIND(LOWER('Parametre Gantt'!$A$4), LOWER($B14)))))</xm:f>
            <x14:dxf>
              <fill>
                <patternFill>
                  <bgColor rgb="FFFF0000"/>
                </patternFill>
              </fill>
            </x14:dxf>
          </x14:cfRule>
          <x14:cfRule type="expression" priority="71" id="{F0C387A0-16C8-41AE-913B-7ED23BE68770}">
            <xm:f>AND('Parametre Gantt'!$A$5&lt;&gt;0,'Parametre Gantt'!$A$5&lt;&gt;"",AND($G14&lt;=R$9, $H14&gt;=R$9, ISNUMBER(FIND(LOWER('Parametre Gantt'!$A$5), LOWER($B14)))))</xm:f>
            <x14:dxf>
              <fill>
                <patternFill>
                  <bgColor rgb="FF66FF66"/>
                </patternFill>
              </fill>
            </x14:dxf>
          </x14:cfRule>
          <xm:sqref>R14:BY17 R19:BY64</xm:sqref>
        </x14:conditionalFormatting>
        <x14:conditionalFormatting xmlns:xm="http://schemas.microsoft.com/office/excel/2006/main">
          <x14:cfRule type="expression" priority="112" id="{34AC648E-AAAD-4D13-B3DB-8F9FFD09E946}">
            <xm:f>AND('Parametre Gantt'!$A$6&lt;&gt;0,'Parametre Gantt'!$A$6&lt;&gt;"",AND($G18&lt;=R$9, $H18&gt;=R$9, ISNUMBER(FIND(LOWER('Parametre Gantt'!$A$6), LOWER($A16)))))</xm:f>
            <x14:dxf>
              <fill>
                <patternFill>
                  <bgColor rgb="FFFEFE00"/>
                </patternFill>
              </fill>
            </x14:dxf>
          </x14:cfRule>
          <x14:cfRule type="expression" priority="113" id="{00000000-000E-0000-0000-000004000000}">
            <xm:f>AND('Parametre Gantt'!$A$3&lt;&gt;0,'Parametre Gantt'!$A$3&lt;&gt;"",AND($G18&lt;=R$9, $H18&gt;=R$9, ISNUMBER(FIND(LOWER('Parametre Gantt'!$A$3), LOWER($A16)))))</xm:f>
            <x14:dxf>
              <fill>
                <patternFill>
                  <bgColor rgb="FF7030A0"/>
                </patternFill>
              </fill>
              <border>
                <left/>
                <right/>
                <top/>
                <bottom/>
              </border>
            </x14:dxf>
          </x14:cfRule>
          <x14:cfRule type="expression" priority="114" id="{05D38978-C4C0-4011-97B7-B37C8BE247CF}">
            <xm:f>AND('Parametre Gantt'!$A$4&lt;&gt;0,'Parametre Gantt'!$A$4&lt;&gt;"",AND($G18&lt;=R$9, $H18&gt;=R$9, ISNUMBER(FIND(LOWER('Parametre Gantt'!$A$4), LOWER($A16)))))</xm:f>
            <x14:dxf>
              <fill>
                <patternFill>
                  <bgColor rgb="FFFF0000"/>
                </patternFill>
              </fill>
            </x14:dxf>
          </x14:cfRule>
          <x14:cfRule type="expression" priority="115" id="{F0C387A0-16C8-41AE-913B-7ED23BE68770}">
            <xm:f>AND('Parametre Gantt'!$A$5&lt;&gt;0,'Parametre Gantt'!$A$5&lt;&gt;"",AND($G18&lt;=R$9, $H18&gt;=R$9, ISNUMBER(FIND(LOWER('Parametre Gantt'!$A$5), LOWER($A16)))))</xm:f>
            <x14:dxf>
              <fill>
                <patternFill>
                  <bgColor rgb="FF66FF66"/>
                </patternFill>
              </fill>
            </x14:dxf>
          </x14:cfRule>
          <xm:sqref>R18:BY18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2AAE180-471E-4348-8AF3-7139FD75A6BC}">
          <x14:formula1>
            <xm:f>'Parametre Gantt'!$B$3:$B$9</xm:f>
          </x14:formula1>
          <xm:sqref>AA5:AD5</xm:sqref>
        </x14:dataValidation>
        <x14:dataValidation type="list" allowBlank="1" showInputMessage="1" showErrorMessage="1" xr:uid="{A897017C-6236-4805-997B-4D364A5758C9}">
          <x14:formula1>
            <xm:f>'Parametre Gantt'!$H$3:$H$17</xm:f>
          </x14:formula1>
          <xm:sqref>AA6:AE6</xm:sqref>
        </x14:dataValidation>
        <x14:dataValidation type="list" allowBlank="1" showInputMessage="1" showErrorMessage="1" xr:uid="{AADE2DAB-880B-4A6F-8FB2-81ABCA9FA41A}">
          <x14:formula1>
            <xm:f>'Parametre Gantt'!$G$3:$G$17</xm:f>
          </x14:formula1>
          <xm:sqref>E14:E64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FD5A1-AF1D-486B-811B-3B8E6A7F9386}">
  <sheetPr codeName="Feuil21">
    <tabColor theme="8"/>
  </sheetPr>
  <dimension ref="A2:I17"/>
  <sheetViews>
    <sheetView workbookViewId="0">
      <selection activeCell="C4" sqref="C4"/>
    </sheetView>
  </sheetViews>
  <sheetFormatPr baseColWidth="10" defaultRowHeight="15" x14ac:dyDescent="0.25"/>
  <cols>
    <col min="3" max="3" width="16.140625" customWidth="1"/>
    <col min="5" max="5" width="15.28515625" customWidth="1"/>
    <col min="6" max="6" width="13.7109375" customWidth="1"/>
    <col min="7" max="7" width="17.5703125" customWidth="1"/>
    <col min="8" max="8" width="13.140625" customWidth="1"/>
  </cols>
  <sheetData>
    <row r="2" spans="1:9" x14ac:dyDescent="0.25">
      <c r="B2" s="9" t="s">
        <v>25</v>
      </c>
      <c r="C2" s="9" t="s">
        <v>23</v>
      </c>
      <c r="F2" s="9" t="s">
        <v>11</v>
      </c>
      <c r="G2" s="9" t="s">
        <v>10</v>
      </c>
      <c r="H2" s="9" t="s">
        <v>12</v>
      </c>
      <c r="I2" s="9" t="s">
        <v>13</v>
      </c>
    </row>
    <row r="3" spans="1:9" x14ac:dyDescent="0.25">
      <c r="A3" t="str">
        <f>IF(AND(Gantt!$AA$5=B3,Gantt!$AE$5&lt;&gt;""),Gantt!$AE$5,'Parametre Gantt'!C3)</f>
        <v>environnemental</v>
      </c>
      <c r="B3" s="57" t="s">
        <v>17</v>
      </c>
      <c r="C3" s="9" t="s">
        <v>82</v>
      </c>
      <c r="F3" s="9">
        <v>1</v>
      </c>
      <c r="G3" s="9" t="s">
        <v>26</v>
      </c>
      <c r="H3" s="9"/>
      <c r="I3" s="9"/>
    </row>
    <row r="4" spans="1:9" x14ac:dyDescent="0.25">
      <c r="A4" t="str">
        <f>IF(AND(Gantt!$AA$5=B4,Gantt!$AE$5&lt;&gt;""),Gantt!$AE$5,'Parametre Gantt'!C4)</f>
        <v>Livrable</v>
      </c>
      <c r="B4" s="58" t="s">
        <v>18</v>
      </c>
      <c r="C4" s="9" t="s">
        <v>43</v>
      </c>
      <c r="F4" s="9">
        <v>2</v>
      </c>
      <c r="G4" s="9" t="s">
        <v>27</v>
      </c>
      <c r="H4" s="9"/>
      <c r="I4" s="9"/>
    </row>
    <row r="5" spans="1:9" x14ac:dyDescent="0.25">
      <c r="A5" t="str">
        <f>IF(AND(Gantt!$AA$5=B5,Gantt!$AE$5&lt;&gt;""),Gantt!$AE$5,'Parametre Gantt'!C5)</f>
        <v>AUTO</v>
      </c>
      <c r="B5" s="59" t="s">
        <v>19</v>
      </c>
      <c r="C5" s="9" t="s">
        <v>29</v>
      </c>
      <c r="F5" s="9">
        <v>3</v>
      </c>
      <c r="G5" s="9" t="s">
        <v>30</v>
      </c>
      <c r="H5" s="9"/>
      <c r="I5" s="9"/>
    </row>
    <row r="6" spans="1:9" x14ac:dyDescent="0.25">
      <c r="A6">
        <f>IF(AND(Gantt!$AA$5=B6,Gantt!$AE$5&lt;&gt;""),Gantt!$AE$5,'Parametre Gantt'!C6)</f>
        <v>0</v>
      </c>
      <c r="B6" s="60" t="s">
        <v>22</v>
      </c>
      <c r="C6" s="9"/>
      <c r="F6" s="9">
        <v>4</v>
      </c>
      <c r="G6" s="9" t="s">
        <v>34</v>
      </c>
      <c r="H6" s="9"/>
      <c r="I6" s="9"/>
    </row>
    <row r="7" spans="1:9" x14ac:dyDescent="0.25">
      <c r="F7" s="9">
        <v>5</v>
      </c>
      <c r="G7" s="9" t="s">
        <v>35</v>
      </c>
      <c r="H7" s="9"/>
      <c r="I7" s="9"/>
    </row>
    <row r="8" spans="1:9" x14ac:dyDescent="0.25">
      <c r="F8" s="9">
        <v>6</v>
      </c>
      <c r="G8" s="9" t="s">
        <v>36</v>
      </c>
      <c r="H8" s="9"/>
      <c r="I8" s="9"/>
    </row>
    <row r="9" spans="1:9" x14ac:dyDescent="0.25">
      <c r="F9" s="9">
        <v>7</v>
      </c>
      <c r="G9" s="9" t="s">
        <v>37</v>
      </c>
      <c r="H9" s="9"/>
      <c r="I9" s="9"/>
    </row>
    <row r="10" spans="1:9" x14ac:dyDescent="0.25">
      <c r="F10" s="9">
        <v>8</v>
      </c>
      <c r="G10" s="9" t="s">
        <v>38</v>
      </c>
      <c r="H10" s="9"/>
      <c r="I10" s="9"/>
    </row>
    <row r="11" spans="1:9" x14ac:dyDescent="0.25">
      <c r="F11" s="9">
        <v>9</v>
      </c>
      <c r="G11" s="9" t="s">
        <v>39</v>
      </c>
      <c r="H11" s="9"/>
      <c r="I11" s="9"/>
    </row>
    <row r="12" spans="1:9" x14ac:dyDescent="0.25">
      <c r="F12" s="9">
        <v>10</v>
      </c>
      <c r="G12" s="9" t="s">
        <v>45</v>
      </c>
      <c r="H12" s="9"/>
      <c r="I12" s="9"/>
    </row>
    <row r="13" spans="1:9" x14ac:dyDescent="0.25">
      <c r="F13" s="9">
        <v>11</v>
      </c>
      <c r="G13" s="9" t="s">
        <v>74</v>
      </c>
      <c r="H13" s="9"/>
      <c r="I13" s="9"/>
    </row>
    <row r="14" spans="1:9" x14ac:dyDescent="0.25">
      <c r="F14" s="9">
        <v>12</v>
      </c>
      <c r="G14" s="9" t="s">
        <v>75</v>
      </c>
      <c r="H14" s="9"/>
      <c r="I14" s="9"/>
    </row>
    <row r="15" spans="1:9" x14ac:dyDescent="0.25">
      <c r="F15" s="9">
        <v>13</v>
      </c>
      <c r="G15" s="9" t="s">
        <v>28</v>
      </c>
      <c r="H15" s="9"/>
      <c r="I15" s="9"/>
    </row>
    <row r="16" spans="1:9" x14ac:dyDescent="0.25">
      <c r="F16" s="9">
        <v>14</v>
      </c>
      <c r="G16" s="9" t="s">
        <v>76</v>
      </c>
      <c r="H16" s="9"/>
      <c r="I16" s="9"/>
    </row>
    <row r="17" spans="6:9" x14ac:dyDescent="0.25">
      <c r="F17" s="9">
        <v>15</v>
      </c>
      <c r="G17" s="9" t="s">
        <v>41</v>
      </c>
      <c r="H17" s="9"/>
      <c r="I17" s="9"/>
    </row>
  </sheetData>
  <dataValidations count="1">
    <dataValidation type="list" allowBlank="1" showInputMessage="1" showErrorMessage="1" sqref="G3:G7" xr:uid="{7D4FAFFB-BF50-443F-881D-C48313C87539}">
      <formula1>$G$3:$G$7</formula1>
    </dataValidation>
  </dataValidation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96253-F1B1-4CF4-9267-119ED655BF05}">
  <sheetPr codeName="Feuil2">
    <tabColor theme="8"/>
  </sheetPr>
  <dimension ref="A1:O100"/>
  <sheetViews>
    <sheetView showGridLines="0" topLeftCell="A18" zoomScaleNormal="100" workbookViewId="0">
      <selection activeCell="M22" sqref="M22"/>
    </sheetView>
  </sheetViews>
  <sheetFormatPr baseColWidth="10" defaultRowHeight="15" x14ac:dyDescent="0.25"/>
  <cols>
    <col min="1" max="2" width="8.28515625" customWidth="1"/>
    <col min="3" max="3" width="2.7109375" customWidth="1"/>
    <col min="4" max="5" width="8.28515625" customWidth="1"/>
    <col min="6" max="6" width="3" customWidth="1"/>
    <col min="7" max="8" width="8.28515625" customWidth="1"/>
    <col min="9" max="9" width="3.7109375" customWidth="1"/>
    <col min="12" max="12" width="14.7109375" customWidth="1"/>
    <col min="14" max="14" width="13.7109375" bestFit="1" customWidth="1"/>
  </cols>
  <sheetData>
    <row r="1" spans="1:15" ht="15.75" thickBot="1" x14ac:dyDescent="0.3">
      <c r="A1" s="90" t="s">
        <v>6</v>
      </c>
      <c r="B1" s="90"/>
      <c r="D1" s="90" t="s">
        <v>58</v>
      </c>
      <c r="E1" s="90"/>
    </row>
    <row r="2" spans="1:15" x14ac:dyDescent="0.25">
      <c r="A2" s="9" t="s">
        <v>56</v>
      </c>
      <c r="B2" s="9" t="s">
        <v>57</v>
      </c>
      <c r="D2" s="9" t="s">
        <v>56</v>
      </c>
      <c r="E2" s="9" t="s">
        <v>57</v>
      </c>
      <c r="G2" s="9" t="s">
        <v>67</v>
      </c>
      <c r="H2" s="9" t="s">
        <v>68</v>
      </c>
      <c r="J2" s="9" t="s">
        <v>69</v>
      </c>
      <c r="K2" s="9" t="s">
        <v>59</v>
      </c>
      <c r="M2" s="72" t="s">
        <v>62</v>
      </c>
      <c r="N2" s="73" t="s">
        <v>60</v>
      </c>
      <c r="O2" s="74" t="s">
        <v>61</v>
      </c>
    </row>
    <row r="3" spans="1:15" x14ac:dyDescent="0.25">
      <c r="A3">
        <f>Gantt!G14</f>
        <v>45569</v>
      </c>
      <c r="B3">
        <f>Gantt!H14</f>
        <v>45576</v>
      </c>
      <c r="D3">
        <f>Gantt!L14</f>
        <v>45569</v>
      </c>
      <c r="E3">
        <f>Gantt!M14</f>
        <v>0</v>
      </c>
      <c r="G3">
        <f>IF(IF(D3&lt;&gt;0,D3-A3, 0)&lt;0,0,IF(D3&lt;&gt;0,D3-A3, 0))</f>
        <v>0</v>
      </c>
      <c r="H3">
        <f>IF(IF(E3&lt;&gt;0,E3-B3, 0)&lt;0,0,IF(E3&lt;&gt;0,E3-B3, 0))</f>
        <v>0</v>
      </c>
      <c r="J3">
        <f>IF(AND(A3&lt;&gt;0,D3&lt;&gt;0),D3-A3,0)</f>
        <v>0</v>
      </c>
      <c r="K3">
        <f>IF(AND(B3&lt;&gt;0,E3&lt;&gt;0),E3-B3,0)</f>
        <v>0</v>
      </c>
      <c r="M3" s="75">
        <f>(SUM(H3:H100)+SUM(G3:G100))/2</f>
        <v>0</v>
      </c>
      <c r="N3" s="9">
        <v>0</v>
      </c>
      <c r="O3" s="76">
        <f>Gantt!K65</f>
        <v>127</v>
      </c>
    </row>
    <row r="4" spans="1:15" x14ac:dyDescent="0.25">
      <c r="A4">
        <f>Gantt!G15</f>
        <v>45569</v>
      </c>
      <c r="B4">
        <f>Gantt!H15</f>
        <v>45573</v>
      </c>
      <c r="D4">
        <f>Gantt!L15</f>
        <v>45569</v>
      </c>
      <c r="E4">
        <f>Gantt!M15</f>
        <v>0</v>
      </c>
      <c r="G4">
        <f t="shared" ref="G4:H67" si="0">IF(IF(D4&lt;&gt;0,D4-A4, 0)&lt;0,0,IF(D4&lt;&gt;0,D4-A4, 0))</f>
        <v>0</v>
      </c>
      <c r="H4">
        <f t="shared" si="0"/>
        <v>0</v>
      </c>
      <c r="J4">
        <f t="shared" ref="J4:K67" si="1">IF(AND(A4&lt;&gt;0,D4&lt;&gt;0),D4-A4,0)</f>
        <v>0</v>
      </c>
      <c r="K4">
        <f t="shared" si="1"/>
        <v>0</v>
      </c>
      <c r="M4" s="77"/>
      <c r="O4" s="78"/>
    </row>
    <row r="5" spans="1:15" x14ac:dyDescent="0.25">
      <c r="A5">
        <f>Gantt!G16</f>
        <v>45569</v>
      </c>
      <c r="B5">
        <f>Gantt!H16</f>
        <v>45583</v>
      </c>
      <c r="D5">
        <f>Gantt!L16</f>
        <v>45569</v>
      </c>
      <c r="E5">
        <f>Gantt!M16</f>
        <v>0</v>
      </c>
      <c r="G5">
        <f t="shared" si="0"/>
        <v>0</v>
      </c>
      <c r="H5">
        <f t="shared" si="0"/>
        <v>0</v>
      </c>
      <c r="J5">
        <f t="shared" si="1"/>
        <v>0</v>
      </c>
      <c r="K5">
        <f t="shared" si="1"/>
        <v>0</v>
      </c>
      <c r="M5" s="77" t="s">
        <v>63</v>
      </c>
      <c r="N5">
        <v>1</v>
      </c>
      <c r="O5" s="78"/>
    </row>
    <row r="6" spans="1:15" x14ac:dyDescent="0.25">
      <c r="A6">
        <f>Gantt!G19</f>
        <v>45583</v>
      </c>
      <c r="B6">
        <f>Gantt!H19</f>
        <v>45590</v>
      </c>
      <c r="D6">
        <f>Gantt!L19</f>
        <v>0</v>
      </c>
      <c r="E6">
        <f>Gantt!M19</f>
        <v>0</v>
      </c>
      <c r="G6">
        <f t="shared" si="0"/>
        <v>0</v>
      </c>
      <c r="H6">
        <f t="shared" si="0"/>
        <v>0</v>
      </c>
      <c r="J6">
        <f t="shared" si="1"/>
        <v>0</v>
      </c>
      <c r="K6">
        <f t="shared" si="1"/>
        <v>0</v>
      </c>
      <c r="M6" s="77" t="s">
        <v>64</v>
      </c>
      <c r="N6">
        <v>1</v>
      </c>
      <c r="O6" s="78"/>
    </row>
    <row r="7" spans="1:15" x14ac:dyDescent="0.25">
      <c r="A7">
        <f>Gantt!G25</f>
        <v>45597</v>
      </c>
      <c r="B7">
        <f>Gantt!H25</f>
        <v>45604</v>
      </c>
      <c r="D7">
        <f>Gantt!L25</f>
        <v>0</v>
      </c>
      <c r="E7">
        <f>Gantt!M25</f>
        <v>0</v>
      </c>
      <c r="G7">
        <f t="shared" si="0"/>
        <v>0</v>
      </c>
      <c r="H7">
        <f t="shared" si="0"/>
        <v>0</v>
      </c>
      <c r="J7">
        <f t="shared" si="1"/>
        <v>0</v>
      </c>
      <c r="K7">
        <f t="shared" si="1"/>
        <v>0</v>
      </c>
      <c r="M7" s="77" t="s">
        <v>65</v>
      </c>
      <c r="N7">
        <v>1</v>
      </c>
      <c r="O7" s="78"/>
    </row>
    <row r="8" spans="1:15" x14ac:dyDescent="0.25">
      <c r="A8">
        <f>Gantt!G26</f>
        <v>45597</v>
      </c>
      <c r="B8">
        <f>Gantt!H26</f>
        <v>45632</v>
      </c>
      <c r="D8">
        <f>Gantt!L26</f>
        <v>0</v>
      </c>
      <c r="E8">
        <f>Gantt!M26</f>
        <v>0</v>
      </c>
      <c r="G8">
        <f t="shared" si="0"/>
        <v>0</v>
      </c>
      <c r="H8">
        <f t="shared" si="0"/>
        <v>0</v>
      </c>
      <c r="J8">
        <f t="shared" si="1"/>
        <v>0</v>
      </c>
      <c r="K8">
        <f t="shared" si="1"/>
        <v>0</v>
      </c>
      <c r="M8" s="77" t="s">
        <v>66</v>
      </c>
      <c r="N8">
        <v>3</v>
      </c>
      <c r="O8" s="78"/>
    </row>
    <row r="9" spans="1:15" x14ac:dyDescent="0.25">
      <c r="A9">
        <f>Gantt!G27</f>
        <v>45597</v>
      </c>
      <c r="B9">
        <f>Gantt!H27</f>
        <v>45632</v>
      </c>
      <c r="D9">
        <f>Gantt!L27</f>
        <v>0</v>
      </c>
      <c r="E9">
        <f>Gantt!M27</f>
        <v>0</v>
      </c>
      <c r="G9">
        <f t="shared" si="0"/>
        <v>0</v>
      </c>
      <c r="H9">
        <f t="shared" si="0"/>
        <v>0</v>
      </c>
      <c r="J9">
        <f t="shared" si="1"/>
        <v>0</v>
      </c>
      <c r="K9">
        <f t="shared" si="1"/>
        <v>0</v>
      </c>
      <c r="M9" s="77"/>
      <c r="N9" s="79">
        <f>100-(M3/O3)*100</f>
        <v>100</v>
      </c>
      <c r="O9" s="78"/>
    </row>
    <row r="10" spans="1:15" x14ac:dyDescent="0.25">
      <c r="A10">
        <f>Gantt!G28</f>
        <v>45597</v>
      </c>
      <c r="B10">
        <f>Gantt!H28</f>
        <v>45632</v>
      </c>
      <c r="D10">
        <f>Gantt!L28</f>
        <v>0</v>
      </c>
      <c r="E10">
        <f>Gantt!M28</f>
        <v>0</v>
      </c>
      <c r="G10">
        <f t="shared" si="0"/>
        <v>0</v>
      </c>
      <c r="H10">
        <f t="shared" si="0"/>
        <v>0</v>
      </c>
      <c r="J10">
        <f t="shared" si="1"/>
        <v>0</v>
      </c>
      <c r="K10">
        <f t="shared" si="1"/>
        <v>0</v>
      </c>
      <c r="M10" s="77"/>
      <c r="N10">
        <v>2</v>
      </c>
      <c r="O10" s="78"/>
    </row>
    <row r="11" spans="1:15" ht="15.75" thickBot="1" x14ac:dyDescent="0.3">
      <c r="A11">
        <f>Gantt!G29</f>
        <v>45604</v>
      </c>
      <c r="B11">
        <f>Gantt!H29</f>
        <v>45625</v>
      </c>
      <c r="D11">
        <f>Gantt!L29</f>
        <v>0</v>
      </c>
      <c r="E11">
        <f>Gantt!M29</f>
        <v>0</v>
      </c>
      <c r="G11">
        <f t="shared" si="0"/>
        <v>0</v>
      </c>
      <c r="H11">
        <f t="shared" si="0"/>
        <v>0</v>
      </c>
      <c r="J11">
        <f t="shared" si="1"/>
        <v>0</v>
      </c>
      <c r="K11">
        <f t="shared" si="1"/>
        <v>0</v>
      </c>
      <c r="M11" s="80"/>
      <c r="N11" s="81">
        <v>100</v>
      </c>
      <c r="O11" s="82"/>
    </row>
    <row r="12" spans="1:15" x14ac:dyDescent="0.25">
      <c r="A12">
        <f>Gantt!G30</f>
        <v>45639</v>
      </c>
      <c r="B12">
        <f>Gantt!H30</f>
        <v>45639</v>
      </c>
      <c r="D12">
        <f>Gantt!L30</f>
        <v>0</v>
      </c>
      <c r="E12">
        <f>Gantt!M30</f>
        <v>0</v>
      </c>
      <c r="G12">
        <f t="shared" si="0"/>
        <v>0</v>
      </c>
      <c r="H12">
        <f t="shared" si="0"/>
        <v>0</v>
      </c>
      <c r="J12">
        <f t="shared" si="1"/>
        <v>0</v>
      </c>
      <c r="K12">
        <f t="shared" si="1"/>
        <v>0</v>
      </c>
    </row>
    <row r="13" spans="1:15" ht="15.75" thickBot="1" x14ac:dyDescent="0.3">
      <c r="A13">
        <f>Gantt!G31</f>
        <v>0</v>
      </c>
      <c r="B13">
        <f>Gantt!H31</f>
        <v>0</v>
      </c>
      <c r="D13">
        <f>Gantt!L31</f>
        <v>0</v>
      </c>
      <c r="E13">
        <f>Gantt!M31</f>
        <v>0</v>
      </c>
      <c r="G13">
        <f t="shared" si="0"/>
        <v>0</v>
      </c>
      <c r="H13">
        <f t="shared" si="0"/>
        <v>0</v>
      </c>
      <c r="J13">
        <f t="shared" si="1"/>
        <v>0</v>
      </c>
      <c r="K13">
        <f t="shared" si="1"/>
        <v>0</v>
      </c>
    </row>
    <row r="14" spans="1:15" x14ac:dyDescent="0.25">
      <c r="A14">
        <f>Gantt!G32</f>
        <v>0</v>
      </c>
      <c r="B14">
        <f>Gantt!H32</f>
        <v>0</v>
      </c>
      <c r="D14">
        <f>Gantt!L32</f>
        <v>0</v>
      </c>
      <c r="E14">
        <f>Gantt!M32</f>
        <v>0</v>
      </c>
      <c r="G14">
        <f t="shared" si="0"/>
        <v>0</v>
      </c>
      <c r="H14">
        <f t="shared" si="0"/>
        <v>0</v>
      </c>
      <c r="J14">
        <f t="shared" si="1"/>
        <v>0</v>
      </c>
      <c r="K14">
        <f t="shared" si="1"/>
        <v>0</v>
      </c>
      <c r="M14" s="72" t="s">
        <v>62</v>
      </c>
      <c r="N14" s="73" t="s">
        <v>60</v>
      </c>
      <c r="O14" s="74" t="s">
        <v>61</v>
      </c>
    </row>
    <row r="15" spans="1:15" x14ac:dyDescent="0.25">
      <c r="A15">
        <f>Gantt!G33</f>
        <v>0</v>
      </c>
      <c r="B15">
        <f>Gantt!H33</f>
        <v>0</v>
      </c>
      <c r="D15">
        <f>Gantt!L33</f>
        <v>0</v>
      </c>
      <c r="E15">
        <f>Gantt!M33</f>
        <v>0</v>
      </c>
      <c r="G15">
        <f t="shared" si="0"/>
        <v>0</v>
      </c>
      <c r="H15">
        <f t="shared" si="0"/>
        <v>0</v>
      </c>
      <c r="J15">
        <f t="shared" si="1"/>
        <v>0</v>
      </c>
      <c r="K15">
        <f t="shared" si="1"/>
        <v>0</v>
      </c>
      <c r="M15" s="75">
        <f>(SUM(J3:J100)+SUM(K3:K100))</f>
        <v>0</v>
      </c>
      <c r="N15" s="9">
        <v>0</v>
      </c>
      <c r="O15" s="83">
        <f ca="1">TODAY()-Gantt!G8</f>
        <v>10</v>
      </c>
    </row>
    <row r="16" spans="1:15" x14ac:dyDescent="0.25">
      <c r="A16">
        <f>Gantt!G34</f>
        <v>0</v>
      </c>
      <c r="B16">
        <f>Gantt!H34</f>
        <v>0</v>
      </c>
      <c r="D16">
        <f>Gantt!L34</f>
        <v>0</v>
      </c>
      <c r="E16">
        <f>Gantt!M34</f>
        <v>0</v>
      </c>
      <c r="G16">
        <f t="shared" si="0"/>
        <v>0</v>
      </c>
      <c r="H16">
        <f t="shared" si="0"/>
        <v>0</v>
      </c>
      <c r="J16">
        <f t="shared" si="1"/>
        <v>0</v>
      </c>
      <c r="K16">
        <f t="shared" si="1"/>
        <v>0</v>
      </c>
      <c r="M16" s="77" t="s">
        <v>66</v>
      </c>
      <c r="N16">
        <v>3</v>
      </c>
      <c r="O16" s="78"/>
    </row>
    <row r="17" spans="1:15" x14ac:dyDescent="0.25">
      <c r="A17">
        <f>Gantt!G35</f>
        <v>0</v>
      </c>
      <c r="B17">
        <f>Gantt!H35</f>
        <v>0</v>
      </c>
      <c r="D17">
        <f>Gantt!L35</f>
        <v>0</v>
      </c>
      <c r="E17">
        <f>Gantt!M35</f>
        <v>0</v>
      </c>
      <c r="G17">
        <f t="shared" si="0"/>
        <v>0</v>
      </c>
      <c r="H17">
        <f t="shared" si="0"/>
        <v>0</v>
      </c>
      <c r="J17">
        <f t="shared" si="1"/>
        <v>0</v>
      </c>
      <c r="K17">
        <f t="shared" si="1"/>
        <v>0</v>
      </c>
      <c r="M17" s="77"/>
      <c r="N17" s="79">
        <f ca="1" xml:space="preserve"> 50 - (M15/O15)*50</f>
        <v>50</v>
      </c>
      <c r="O17" s="78"/>
    </row>
    <row r="18" spans="1:15" x14ac:dyDescent="0.25">
      <c r="A18">
        <f>Gantt!G36</f>
        <v>0</v>
      </c>
      <c r="B18">
        <f>Gantt!H36</f>
        <v>0</v>
      </c>
      <c r="D18">
        <f>Gantt!L36</f>
        <v>0</v>
      </c>
      <c r="E18">
        <f>Gantt!M36</f>
        <v>0</v>
      </c>
      <c r="G18">
        <f t="shared" si="0"/>
        <v>0</v>
      </c>
      <c r="H18">
        <f t="shared" si="0"/>
        <v>0</v>
      </c>
      <c r="J18">
        <f t="shared" si="1"/>
        <v>0</v>
      </c>
      <c r="K18">
        <f t="shared" si="1"/>
        <v>0</v>
      </c>
      <c r="M18" s="77"/>
      <c r="N18">
        <v>2</v>
      </c>
      <c r="O18" s="78"/>
    </row>
    <row r="19" spans="1:15" ht="15.75" thickBot="1" x14ac:dyDescent="0.3">
      <c r="A19">
        <f>Gantt!G37</f>
        <v>0</v>
      </c>
      <c r="B19">
        <f>Gantt!H37</f>
        <v>0</v>
      </c>
      <c r="D19">
        <f>Gantt!L37</f>
        <v>0</v>
      </c>
      <c r="E19">
        <f>Gantt!M37</f>
        <v>0</v>
      </c>
      <c r="G19">
        <f t="shared" si="0"/>
        <v>0</v>
      </c>
      <c r="H19">
        <f t="shared" si="0"/>
        <v>0</v>
      </c>
      <c r="J19">
        <f t="shared" si="1"/>
        <v>0</v>
      </c>
      <c r="K19">
        <f t="shared" si="1"/>
        <v>0</v>
      </c>
      <c r="M19" s="80"/>
      <c r="N19" s="81">
        <v>150</v>
      </c>
      <c r="O19" s="82"/>
    </row>
    <row r="20" spans="1:15" x14ac:dyDescent="0.25">
      <c r="A20">
        <f>Gantt!G38</f>
        <v>0</v>
      </c>
      <c r="B20">
        <f>Gantt!H38</f>
        <v>0</v>
      </c>
      <c r="D20">
        <f>Gantt!L38</f>
        <v>0</v>
      </c>
      <c r="E20">
        <f>Gantt!M38</f>
        <v>0</v>
      </c>
      <c r="G20">
        <f t="shared" si="0"/>
        <v>0</v>
      </c>
      <c r="H20">
        <f t="shared" si="0"/>
        <v>0</v>
      </c>
      <c r="J20">
        <f t="shared" si="1"/>
        <v>0</v>
      </c>
      <c r="K20">
        <f t="shared" si="1"/>
        <v>0</v>
      </c>
    </row>
    <row r="21" spans="1:15" x14ac:dyDescent="0.25">
      <c r="A21">
        <f>Gantt!G39</f>
        <v>0</v>
      </c>
      <c r="B21">
        <f>Gantt!H39</f>
        <v>0</v>
      </c>
      <c r="D21">
        <f>Gantt!L39</f>
        <v>0</v>
      </c>
      <c r="E21">
        <f>Gantt!M39</f>
        <v>0</v>
      </c>
      <c r="G21">
        <f t="shared" si="0"/>
        <v>0</v>
      </c>
      <c r="H21">
        <f t="shared" si="0"/>
        <v>0</v>
      </c>
      <c r="J21">
        <f t="shared" si="1"/>
        <v>0</v>
      </c>
      <c r="K21">
        <f t="shared" si="1"/>
        <v>0</v>
      </c>
    </row>
    <row r="22" spans="1:15" x14ac:dyDescent="0.25">
      <c r="A22">
        <f>Gantt!G40</f>
        <v>0</v>
      </c>
      <c r="B22">
        <f>Gantt!H40</f>
        <v>0</v>
      </c>
      <c r="D22">
        <f>Gantt!L40</f>
        <v>0</v>
      </c>
      <c r="E22">
        <f>Gantt!M40</f>
        <v>0</v>
      </c>
      <c r="G22">
        <f t="shared" si="0"/>
        <v>0</v>
      </c>
      <c r="H22">
        <f t="shared" si="0"/>
        <v>0</v>
      </c>
      <c r="J22">
        <f t="shared" si="1"/>
        <v>0</v>
      </c>
      <c r="K22">
        <f t="shared" si="1"/>
        <v>0</v>
      </c>
    </row>
    <row r="23" spans="1:15" x14ac:dyDescent="0.25">
      <c r="A23">
        <f>Gantt!G41</f>
        <v>0</v>
      </c>
      <c r="B23">
        <f>Gantt!H41</f>
        <v>0</v>
      </c>
      <c r="D23">
        <f>Gantt!L41</f>
        <v>0</v>
      </c>
      <c r="E23">
        <f>Gantt!M41</f>
        <v>0</v>
      </c>
      <c r="G23">
        <f t="shared" si="0"/>
        <v>0</v>
      </c>
      <c r="H23">
        <f t="shared" si="0"/>
        <v>0</v>
      </c>
      <c r="J23">
        <f t="shared" si="1"/>
        <v>0</v>
      </c>
      <c r="K23">
        <f t="shared" si="1"/>
        <v>0</v>
      </c>
    </row>
    <row r="24" spans="1:15" x14ac:dyDescent="0.25">
      <c r="A24">
        <f>Gantt!G42</f>
        <v>0</v>
      </c>
      <c r="B24">
        <f>Gantt!H42</f>
        <v>0</v>
      </c>
      <c r="D24">
        <f>Gantt!L42</f>
        <v>0</v>
      </c>
      <c r="E24">
        <f>Gantt!M42</f>
        <v>0</v>
      </c>
      <c r="G24">
        <f t="shared" si="0"/>
        <v>0</v>
      </c>
      <c r="H24">
        <f t="shared" si="0"/>
        <v>0</v>
      </c>
      <c r="J24">
        <f t="shared" si="1"/>
        <v>0</v>
      </c>
      <c r="K24">
        <f t="shared" si="1"/>
        <v>0</v>
      </c>
    </row>
    <row r="25" spans="1:15" x14ac:dyDescent="0.25">
      <c r="A25">
        <f>Gantt!G43</f>
        <v>0</v>
      </c>
      <c r="B25">
        <f>Gantt!H43</f>
        <v>0</v>
      </c>
      <c r="D25">
        <f>Gantt!L43</f>
        <v>0</v>
      </c>
      <c r="E25">
        <f>Gantt!M43</f>
        <v>0</v>
      </c>
      <c r="G25">
        <f t="shared" si="0"/>
        <v>0</v>
      </c>
      <c r="H25">
        <f t="shared" si="0"/>
        <v>0</v>
      </c>
      <c r="J25">
        <f t="shared" si="1"/>
        <v>0</v>
      </c>
      <c r="K25">
        <f t="shared" si="1"/>
        <v>0</v>
      </c>
    </row>
    <row r="26" spans="1:15" x14ac:dyDescent="0.25">
      <c r="A26">
        <f>Gantt!G44</f>
        <v>0</v>
      </c>
      <c r="B26">
        <f>Gantt!H44</f>
        <v>0</v>
      </c>
      <c r="D26">
        <f>Gantt!L44</f>
        <v>0</v>
      </c>
      <c r="E26">
        <f>Gantt!M44</f>
        <v>0</v>
      </c>
      <c r="G26">
        <f t="shared" si="0"/>
        <v>0</v>
      </c>
      <c r="H26">
        <f t="shared" si="0"/>
        <v>0</v>
      </c>
      <c r="J26">
        <f t="shared" si="1"/>
        <v>0</v>
      </c>
      <c r="K26">
        <f t="shared" si="1"/>
        <v>0</v>
      </c>
    </row>
    <row r="27" spans="1:15" x14ac:dyDescent="0.25">
      <c r="A27">
        <f>Gantt!G45</f>
        <v>0</v>
      </c>
      <c r="B27">
        <f>Gantt!H45</f>
        <v>0</v>
      </c>
      <c r="D27">
        <f>Gantt!L45</f>
        <v>0</v>
      </c>
      <c r="E27">
        <f>Gantt!M45</f>
        <v>0</v>
      </c>
      <c r="G27">
        <f t="shared" si="0"/>
        <v>0</v>
      </c>
      <c r="H27">
        <f t="shared" si="0"/>
        <v>0</v>
      </c>
      <c r="J27">
        <f t="shared" si="1"/>
        <v>0</v>
      </c>
      <c r="K27">
        <f t="shared" si="1"/>
        <v>0</v>
      </c>
    </row>
    <row r="28" spans="1:15" x14ac:dyDescent="0.25">
      <c r="A28">
        <f>Gantt!G46</f>
        <v>0</v>
      </c>
      <c r="B28">
        <f>Gantt!H46</f>
        <v>0</v>
      </c>
      <c r="D28">
        <f>Gantt!L46</f>
        <v>0</v>
      </c>
      <c r="E28">
        <f>Gantt!M46</f>
        <v>0</v>
      </c>
      <c r="G28">
        <f t="shared" si="0"/>
        <v>0</v>
      </c>
      <c r="H28">
        <f t="shared" si="0"/>
        <v>0</v>
      </c>
      <c r="J28">
        <f t="shared" si="1"/>
        <v>0</v>
      </c>
      <c r="K28">
        <f t="shared" si="1"/>
        <v>0</v>
      </c>
    </row>
    <row r="29" spans="1:15" x14ac:dyDescent="0.25">
      <c r="A29">
        <f>Gantt!G47</f>
        <v>0</v>
      </c>
      <c r="B29">
        <f>Gantt!H47</f>
        <v>0</v>
      </c>
      <c r="D29">
        <f>Gantt!L47</f>
        <v>0</v>
      </c>
      <c r="E29">
        <f>Gantt!M47</f>
        <v>0</v>
      </c>
      <c r="G29">
        <f t="shared" si="0"/>
        <v>0</v>
      </c>
      <c r="H29">
        <f t="shared" si="0"/>
        <v>0</v>
      </c>
      <c r="J29">
        <f t="shared" si="1"/>
        <v>0</v>
      </c>
      <c r="K29">
        <f t="shared" si="1"/>
        <v>0</v>
      </c>
    </row>
    <row r="30" spans="1:15" x14ac:dyDescent="0.25">
      <c r="A30">
        <f>Gantt!G48</f>
        <v>0</v>
      </c>
      <c r="B30">
        <f>Gantt!H48</f>
        <v>0</v>
      </c>
      <c r="D30">
        <f>Gantt!L48</f>
        <v>0</v>
      </c>
      <c r="E30">
        <f>Gantt!M48</f>
        <v>0</v>
      </c>
      <c r="G30">
        <f t="shared" si="0"/>
        <v>0</v>
      </c>
      <c r="H30">
        <f t="shared" si="0"/>
        <v>0</v>
      </c>
      <c r="J30">
        <f t="shared" si="1"/>
        <v>0</v>
      </c>
      <c r="K30">
        <f t="shared" si="1"/>
        <v>0</v>
      </c>
    </row>
    <row r="31" spans="1:15" x14ac:dyDescent="0.25">
      <c r="A31">
        <f>Gantt!G49</f>
        <v>0</v>
      </c>
      <c r="B31">
        <f>Gantt!H49</f>
        <v>0</v>
      </c>
      <c r="D31">
        <f>Gantt!L49</f>
        <v>0</v>
      </c>
      <c r="E31">
        <f>Gantt!M49</f>
        <v>0</v>
      </c>
      <c r="G31">
        <f t="shared" si="0"/>
        <v>0</v>
      </c>
      <c r="H31">
        <f t="shared" si="0"/>
        <v>0</v>
      </c>
      <c r="J31">
        <f t="shared" si="1"/>
        <v>0</v>
      </c>
      <c r="K31">
        <f t="shared" si="1"/>
        <v>0</v>
      </c>
    </row>
    <row r="32" spans="1:15" x14ac:dyDescent="0.25">
      <c r="A32">
        <f>Gantt!G50</f>
        <v>0</v>
      </c>
      <c r="B32">
        <f>Gantt!H50</f>
        <v>0</v>
      </c>
      <c r="D32">
        <f>Gantt!L50</f>
        <v>0</v>
      </c>
      <c r="E32">
        <f>Gantt!M50</f>
        <v>0</v>
      </c>
      <c r="G32">
        <f t="shared" si="0"/>
        <v>0</v>
      </c>
      <c r="H32">
        <f t="shared" si="0"/>
        <v>0</v>
      </c>
      <c r="J32">
        <f t="shared" si="1"/>
        <v>0</v>
      </c>
      <c r="K32">
        <f t="shared" si="1"/>
        <v>0</v>
      </c>
    </row>
    <row r="33" spans="1:11" x14ac:dyDescent="0.25">
      <c r="A33">
        <f>Gantt!G51</f>
        <v>0</v>
      </c>
      <c r="B33">
        <f>Gantt!H51</f>
        <v>0</v>
      </c>
      <c r="D33">
        <f>Gantt!L51</f>
        <v>0</v>
      </c>
      <c r="E33">
        <f>Gantt!M51</f>
        <v>0</v>
      </c>
      <c r="G33">
        <f t="shared" si="0"/>
        <v>0</v>
      </c>
      <c r="H33">
        <f t="shared" si="0"/>
        <v>0</v>
      </c>
      <c r="J33">
        <f t="shared" si="1"/>
        <v>0</v>
      </c>
      <c r="K33">
        <f t="shared" si="1"/>
        <v>0</v>
      </c>
    </row>
    <row r="34" spans="1:11" x14ac:dyDescent="0.25">
      <c r="A34">
        <f>Gantt!G52</f>
        <v>0</v>
      </c>
      <c r="B34">
        <f>Gantt!H52</f>
        <v>0</v>
      </c>
      <c r="D34">
        <f>Gantt!L52</f>
        <v>0</v>
      </c>
      <c r="E34">
        <f>Gantt!M52</f>
        <v>0</v>
      </c>
      <c r="G34">
        <f t="shared" si="0"/>
        <v>0</v>
      </c>
      <c r="H34">
        <f t="shared" si="0"/>
        <v>0</v>
      </c>
      <c r="J34">
        <f t="shared" si="1"/>
        <v>0</v>
      </c>
      <c r="K34">
        <f t="shared" si="1"/>
        <v>0</v>
      </c>
    </row>
    <row r="35" spans="1:11" x14ac:dyDescent="0.25">
      <c r="A35">
        <f>Gantt!G53</f>
        <v>0</v>
      </c>
      <c r="B35">
        <f>Gantt!H53</f>
        <v>0</v>
      </c>
      <c r="D35">
        <f>Gantt!L53</f>
        <v>0</v>
      </c>
      <c r="E35">
        <f>Gantt!M53</f>
        <v>0</v>
      </c>
      <c r="G35">
        <f t="shared" si="0"/>
        <v>0</v>
      </c>
      <c r="H35">
        <f t="shared" si="0"/>
        <v>0</v>
      </c>
      <c r="J35">
        <f t="shared" si="1"/>
        <v>0</v>
      </c>
      <c r="K35">
        <f t="shared" si="1"/>
        <v>0</v>
      </c>
    </row>
    <row r="36" spans="1:11" x14ac:dyDescent="0.25">
      <c r="A36">
        <f>Gantt!G54</f>
        <v>0</v>
      </c>
      <c r="B36">
        <f>Gantt!H54</f>
        <v>0</v>
      </c>
      <c r="D36">
        <f>Gantt!L54</f>
        <v>0</v>
      </c>
      <c r="E36">
        <f>Gantt!M54</f>
        <v>0</v>
      </c>
      <c r="G36">
        <f t="shared" si="0"/>
        <v>0</v>
      </c>
      <c r="H36">
        <f t="shared" si="0"/>
        <v>0</v>
      </c>
      <c r="J36">
        <f t="shared" si="1"/>
        <v>0</v>
      </c>
      <c r="K36">
        <f t="shared" si="1"/>
        <v>0</v>
      </c>
    </row>
    <row r="37" spans="1:11" x14ac:dyDescent="0.25">
      <c r="A37">
        <f>Gantt!G55</f>
        <v>0</v>
      </c>
      <c r="B37">
        <f>Gantt!H55</f>
        <v>0</v>
      </c>
      <c r="D37">
        <f>Gantt!L55</f>
        <v>0</v>
      </c>
      <c r="E37">
        <f>Gantt!M55</f>
        <v>0</v>
      </c>
      <c r="G37">
        <f t="shared" si="0"/>
        <v>0</v>
      </c>
      <c r="H37">
        <f t="shared" si="0"/>
        <v>0</v>
      </c>
      <c r="J37">
        <f t="shared" si="1"/>
        <v>0</v>
      </c>
      <c r="K37">
        <f t="shared" si="1"/>
        <v>0</v>
      </c>
    </row>
    <row r="38" spans="1:11" x14ac:dyDescent="0.25">
      <c r="A38">
        <f>Gantt!G56</f>
        <v>0</v>
      </c>
      <c r="B38">
        <f>Gantt!H56</f>
        <v>0</v>
      </c>
      <c r="D38">
        <f>Gantt!L56</f>
        <v>0</v>
      </c>
      <c r="E38">
        <f>Gantt!M56</f>
        <v>0</v>
      </c>
      <c r="G38">
        <f t="shared" si="0"/>
        <v>0</v>
      </c>
      <c r="H38">
        <f t="shared" si="0"/>
        <v>0</v>
      </c>
      <c r="J38">
        <f t="shared" si="1"/>
        <v>0</v>
      </c>
      <c r="K38">
        <f t="shared" si="1"/>
        <v>0</v>
      </c>
    </row>
    <row r="39" spans="1:11" x14ac:dyDescent="0.25">
      <c r="A39">
        <f>Gantt!G57</f>
        <v>0</v>
      </c>
      <c r="B39">
        <f>Gantt!H57</f>
        <v>0</v>
      </c>
      <c r="D39">
        <f>Gantt!L57</f>
        <v>0</v>
      </c>
      <c r="E39">
        <f>Gantt!M57</f>
        <v>0</v>
      </c>
      <c r="G39">
        <f t="shared" si="0"/>
        <v>0</v>
      </c>
      <c r="H39">
        <f t="shared" si="0"/>
        <v>0</v>
      </c>
      <c r="J39">
        <f t="shared" si="1"/>
        <v>0</v>
      </c>
      <c r="K39">
        <f t="shared" si="1"/>
        <v>0</v>
      </c>
    </row>
    <row r="40" spans="1:11" x14ac:dyDescent="0.25">
      <c r="A40">
        <f>Gantt!G58</f>
        <v>0</v>
      </c>
      <c r="B40">
        <f>Gantt!H58</f>
        <v>0</v>
      </c>
      <c r="D40">
        <f>Gantt!L58</f>
        <v>0</v>
      </c>
      <c r="E40">
        <f>Gantt!M58</f>
        <v>0</v>
      </c>
      <c r="G40">
        <f t="shared" si="0"/>
        <v>0</v>
      </c>
      <c r="H40">
        <f t="shared" si="0"/>
        <v>0</v>
      </c>
      <c r="J40">
        <f t="shared" si="1"/>
        <v>0</v>
      </c>
      <c r="K40">
        <f t="shared" si="1"/>
        <v>0</v>
      </c>
    </row>
    <row r="41" spans="1:11" x14ac:dyDescent="0.25">
      <c r="A41">
        <f>Gantt!G59</f>
        <v>0</v>
      </c>
      <c r="B41">
        <f>Gantt!H59</f>
        <v>0</v>
      </c>
      <c r="D41">
        <f>Gantt!L59</f>
        <v>0</v>
      </c>
      <c r="E41">
        <f>Gantt!M59</f>
        <v>0</v>
      </c>
      <c r="G41">
        <f t="shared" si="0"/>
        <v>0</v>
      </c>
      <c r="H41">
        <f t="shared" si="0"/>
        <v>0</v>
      </c>
      <c r="J41">
        <f t="shared" si="1"/>
        <v>0</v>
      </c>
      <c r="K41">
        <f t="shared" si="1"/>
        <v>0</v>
      </c>
    </row>
    <row r="42" spans="1:11" x14ac:dyDescent="0.25">
      <c r="A42">
        <f>Gantt!G60</f>
        <v>0</v>
      </c>
      <c r="B42">
        <f>Gantt!H60</f>
        <v>0</v>
      </c>
      <c r="D42">
        <f>Gantt!L60</f>
        <v>0</v>
      </c>
      <c r="E42">
        <f>Gantt!M60</f>
        <v>0</v>
      </c>
      <c r="G42">
        <f t="shared" si="0"/>
        <v>0</v>
      </c>
      <c r="H42">
        <f t="shared" si="0"/>
        <v>0</v>
      </c>
      <c r="J42">
        <f t="shared" si="1"/>
        <v>0</v>
      </c>
      <c r="K42">
        <f t="shared" si="1"/>
        <v>0</v>
      </c>
    </row>
    <row r="43" spans="1:11" x14ac:dyDescent="0.25">
      <c r="A43">
        <f>Gantt!G61</f>
        <v>0</v>
      </c>
      <c r="B43">
        <f>Gantt!H61</f>
        <v>0</v>
      </c>
      <c r="D43">
        <f>Gantt!L61</f>
        <v>0</v>
      </c>
      <c r="E43">
        <f>Gantt!M61</f>
        <v>0</v>
      </c>
      <c r="G43">
        <f t="shared" si="0"/>
        <v>0</v>
      </c>
      <c r="H43">
        <f t="shared" si="0"/>
        <v>0</v>
      </c>
      <c r="J43">
        <f t="shared" si="1"/>
        <v>0</v>
      </c>
      <c r="K43">
        <f t="shared" si="1"/>
        <v>0</v>
      </c>
    </row>
    <row r="44" spans="1:11" x14ac:dyDescent="0.25">
      <c r="A44">
        <f>Gantt!G62</f>
        <v>0</v>
      </c>
      <c r="B44">
        <f>Gantt!H62</f>
        <v>0</v>
      </c>
      <c r="D44">
        <f>Gantt!L62</f>
        <v>0</v>
      </c>
      <c r="E44">
        <f>Gantt!M62</f>
        <v>0</v>
      </c>
      <c r="G44">
        <f t="shared" si="0"/>
        <v>0</v>
      </c>
      <c r="H44">
        <f t="shared" si="0"/>
        <v>0</v>
      </c>
      <c r="J44">
        <f t="shared" si="1"/>
        <v>0</v>
      </c>
      <c r="K44">
        <f t="shared" si="1"/>
        <v>0</v>
      </c>
    </row>
    <row r="45" spans="1:11" x14ac:dyDescent="0.25">
      <c r="A45">
        <f>Gantt!G63</f>
        <v>0</v>
      </c>
      <c r="B45">
        <f>Gantt!H63</f>
        <v>0</v>
      </c>
      <c r="D45">
        <f>Gantt!L63</f>
        <v>0</v>
      </c>
      <c r="E45">
        <f>Gantt!M63</f>
        <v>0</v>
      </c>
      <c r="G45">
        <f t="shared" si="0"/>
        <v>0</v>
      </c>
      <c r="H45">
        <f t="shared" si="0"/>
        <v>0</v>
      </c>
      <c r="J45">
        <f t="shared" si="1"/>
        <v>0</v>
      </c>
      <c r="K45">
        <f t="shared" si="1"/>
        <v>0</v>
      </c>
    </row>
    <row r="46" spans="1:11" x14ac:dyDescent="0.25">
      <c r="A46">
        <f>Gantt!G64</f>
        <v>0</v>
      </c>
      <c r="B46">
        <f>Gantt!H64</f>
        <v>0</v>
      </c>
      <c r="D46">
        <f>Gantt!L64</f>
        <v>0</v>
      </c>
      <c r="E46">
        <f>Gantt!M64</f>
        <v>0</v>
      </c>
      <c r="G46">
        <f t="shared" si="0"/>
        <v>0</v>
      </c>
      <c r="H46">
        <f t="shared" si="0"/>
        <v>0</v>
      </c>
      <c r="J46">
        <f t="shared" si="1"/>
        <v>0</v>
      </c>
      <c r="K46">
        <f t="shared" si="1"/>
        <v>0</v>
      </c>
    </row>
    <row r="47" spans="1:11" x14ac:dyDescent="0.25">
      <c r="A47">
        <f>Gantt!G65</f>
        <v>0</v>
      </c>
      <c r="B47">
        <f>Gantt!H65</f>
        <v>0</v>
      </c>
      <c r="D47">
        <f>Gantt!L65</f>
        <v>0</v>
      </c>
      <c r="E47">
        <f>Gantt!M65</f>
        <v>0</v>
      </c>
      <c r="G47">
        <f t="shared" si="0"/>
        <v>0</v>
      </c>
      <c r="H47">
        <f t="shared" si="0"/>
        <v>0</v>
      </c>
      <c r="J47">
        <f t="shared" si="1"/>
        <v>0</v>
      </c>
      <c r="K47">
        <f t="shared" si="1"/>
        <v>0</v>
      </c>
    </row>
    <row r="48" spans="1:11" x14ac:dyDescent="0.25">
      <c r="A48">
        <f>Gantt!G66</f>
        <v>0</v>
      </c>
      <c r="B48">
        <f>Gantt!H66</f>
        <v>0</v>
      </c>
      <c r="D48">
        <f>Gantt!L66</f>
        <v>0</v>
      </c>
      <c r="E48">
        <f>Gantt!M66</f>
        <v>0</v>
      </c>
      <c r="G48">
        <f t="shared" si="0"/>
        <v>0</v>
      </c>
      <c r="H48">
        <f t="shared" si="0"/>
        <v>0</v>
      </c>
      <c r="J48">
        <f t="shared" si="1"/>
        <v>0</v>
      </c>
      <c r="K48">
        <f t="shared" si="1"/>
        <v>0</v>
      </c>
    </row>
    <row r="49" spans="1:11" x14ac:dyDescent="0.25">
      <c r="A49">
        <f>Gantt!G67</f>
        <v>0</v>
      </c>
      <c r="B49">
        <f>Gantt!H67</f>
        <v>0</v>
      </c>
      <c r="D49">
        <f>Gantt!L67</f>
        <v>0</v>
      </c>
      <c r="E49">
        <f>Gantt!M67</f>
        <v>0</v>
      </c>
      <c r="G49">
        <f t="shared" si="0"/>
        <v>0</v>
      </c>
      <c r="H49">
        <f t="shared" si="0"/>
        <v>0</v>
      </c>
      <c r="J49">
        <f t="shared" si="1"/>
        <v>0</v>
      </c>
      <c r="K49">
        <f t="shared" si="1"/>
        <v>0</v>
      </c>
    </row>
    <row r="50" spans="1:11" x14ac:dyDescent="0.25">
      <c r="A50">
        <f>Gantt!G68</f>
        <v>0</v>
      </c>
      <c r="B50">
        <f>Gantt!H68</f>
        <v>0</v>
      </c>
      <c r="D50">
        <f>Gantt!L68</f>
        <v>0</v>
      </c>
      <c r="E50">
        <f>Gantt!M68</f>
        <v>0</v>
      </c>
      <c r="G50">
        <f t="shared" si="0"/>
        <v>0</v>
      </c>
      <c r="H50">
        <f t="shared" si="0"/>
        <v>0</v>
      </c>
      <c r="J50">
        <f t="shared" si="1"/>
        <v>0</v>
      </c>
      <c r="K50">
        <f t="shared" si="1"/>
        <v>0</v>
      </c>
    </row>
    <row r="51" spans="1:11" x14ac:dyDescent="0.25">
      <c r="A51">
        <f>Gantt!G69</f>
        <v>0</v>
      </c>
      <c r="B51">
        <f>Gantt!H69</f>
        <v>0</v>
      </c>
      <c r="D51">
        <f>Gantt!L69</f>
        <v>0</v>
      </c>
      <c r="E51">
        <f>Gantt!M69</f>
        <v>0</v>
      </c>
      <c r="G51">
        <f t="shared" si="0"/>
        <v>0</v>
      </c>
      <c r="H51">
        <f t="shared" si="0"/>
        <v>0</v>
      </c>
      <c r="J51">
        <f t="shared" si="1"/>
        <v>0</v>
      </c>
      <c r="K51">
        <f t="shared" si="1"/>
        <v>0</v>
      </c>
    </row>
    <row r="52" spans="1:11" x14ac:dyDescent="0.25">
      <c r="A52">
        <f>Gantt!G70</f>
        <v>0</v>
      </c>
      <c r="B52">
        <f>Gantt!H70</f>
        <v>0</v>
      </c>
      <c r="D52">
        <f>Gantt!L70</f>
        <v>0</v>
      </c>
      <c r="E52">
        <f>Gantt!M70</f>
        <v>0</v>
      </c>
      <c r="G52">
        <f t="shared" si="0"/>
        <v>0</v>
      </c>
      <c r="H52">
        <f t="shared" si="0"/>
        <v>0</v>
      </c>
      <c r="J52">
        <f t="shared" si="1"/>
        <v>0</v>
      </c>
      <c r="K52">
        <f t="shared" si="1"/>
        <v>0</v>
      </c>
    </row>
    <row r="53" spans="1:11" x14ac:dyDescent="0.25">
      <c r="A53">
        <f>Gantt!G71</f>
        <v>0</v>
      </c>
      <c r="B53">
        <f>Gantt!H71</f>
        <v>0</v>
      </c>
      <c r="D53">
        <f>Gantt!L71</f>
        <v>0</v>
      </c>
      <c r="E53">
        <f>Gantt!M71</f>
        <v>0</v>
      </c>
      <c r="G53">
        <f t="shared" si="0"/>
        <v>0</v>
      </c>
      <c r="H53">
        <f t="shared" si="0"/>
        <v>0</v>
      </c>
      <c r="J53">
        <f t="shared" si="1"/>
        <v>0</v>
      </c>
      <c r="K53">
        <f t="shared" si="1"/>
        <v>0</v>
      </c>
    </row>
    <row r="54" spans="1:11" x14ac:dyDescent="0.25">
      <c r="A54">
        <f>Gantt!G72</f>
        <v>0</v>
      </c>
      <c r="B54">
        <f>Gantt!H72</f>
        <v>0</v>
      </c>
      <c r="D54">
        <f>Gantt!L72</f>
        <v>0</v>
      </c>
      <c r="E54">
        <f>Gantt!M72</f>
        <v>0</v>
      </c>
      <c r="G54">
        <f t="shared" si="0"/>
        <v>0</v>
      </c>
      <c r="H54">
        <f t="shared" si="0"/>
        <v>0</v>
      </c>
      <c r="J54">
        <f t="shared" si="1"/>
        <v>0</v>
      </c>
      <c r="K54">
        <f t="shared" si="1"/>
        <v>0</v>
      </c>
    </row>
    <row r="55" spans="1:11" x14ac:dyDescent="0.25">
      <c r="A55">
        <f>Gantt!G73</f>
        <v>0</v>
      </c>
      <c r="B55">
        <f>Gantt!H73</f>
        <v>0</v>
      </c>
      <c r="D55">
        <f>Gantt!L73</f>
        <v>0</v>
      </c>
      <c r="E55">
        <f>Gantt!M73</f>
        <v>0</v>
      </c>
      <c r="G55">
        <f t="shared" si="0"/>
        <v>0</v>
      </c>
      <c r="H55">
        <f t="shared" si="0"/>
        <v>0</v>
      </c>
      <c r="J55">
        <f t="shared" si="1"/>
        <v>0</v>
      </c>
      <c r="K55">
        <f t="shared" si="1"/>
        <v>0</v>
      </c>
    </row>
    <row r="56" spans="1:11" x14ac:dyDescent="0.25">
      <c r="A56">
        <f>Gantt!G74</f>
        <v>0</v>
      </c>
      <c r="B56">
        <f>Gantt!H74</f>
        <v>0</v>
      </c>
      <c r="D56">
        <f>Gantt!L74</f>
        <v>0</v>
      </c>
      <c r="E56">
        <f>Gantt!M74</f>
        <v>0</v>
      </c>
      <c r="G56">
        <f t="shared" si="0"/>
        <v>0</v>
      </c>
      <c r="H56">
        <f t="shared" si="0"/>
        <v>0</v>
      </c>
      <c r="J56">
        <f t="shared" si="1"/>
        <v>0</v>
      </c>
      <c r="K56">
        <f t="shared" si="1"/>
        <v>0</v>
      </c>
    </row>
    <row r="57" spans="1:11" x14ac:dyDescent="0.25">
      <c r="A57">
        <f>Gantt!G75</f>
        <v>0</v>
      </c>
      <c r="B57">
        <f>Gantt!H75</f>
        <v>0</v>
      </c>
      <c r="D57">
        <f>Gantt!L75</f>
        <v>0</v>
      </c>
      <c r="E57">
        <f>Gantt!M75</f>
        <v>0</v>
      </c>
      <c r="G57">
        <f t="shared" si="0"/>
        <v>0</v>
      </c>
      <c r="H57">
        <f t="shared" si="0"/>
        <v>0</v>
      </c>
      <c r="J57">
        <f t="shared" si="1"/>
        <v>0</v>
      </c>
      <c r="K57">
        <f t="shared" si="1"/>
        <v>0</v>
      </c>
    </row>
    <row r="58" spans="1:11" x14ac:dyDescent="0.25">
      <c r="A58">
        <f>Gantt!G76</f>
        <v>0</v>
      </c>
      <c r="B58">
        <f>Gantt!H76</f>
        <v>0</v>
      </c>
      <c r="D58">
        <f>Gantt!L76</f>
        <v>0</v>
      </c>
      <c r="E58">
        <f>Gantt!M76</f>
        <v>0</v>
      </c>
      <c r="G58">
        <f t="shared" si="0"/>
        <v>0</v>
      </c>
      <c r="H58">
        <f t="shared" si="0"/>
        <v>0</v>
      </c>
      <c r="J58">
        <f t="shared" si="1"/>
        <v>0</v>
      </c>
      <c r="K58">
        <f t="shared" si="1"/>
        <v>0</v>
      </c>
    </row>
    <row r="59" spans="1:11" x14ac:dyDescent="0.25">
      <c r="A59">
        <f>Gantt!G77</f>
        <v>0</v>
      </c>
      <c r="B59">
        <f>Gantt!H77</f>
        <v>0</v>
      </c>
      <c r="D59">
        <f>Gantt!L77</f>
        <v>0</v>
      </c>
      <c r="E59">
        <f>Gantt!M77</f>
        <v>0</v>
      </c>
      <c r="G59">
        <f t="shared" si="0"/>
        <v>0</v>
      </c>
      <c r="H59">
        <f t="shared" si="0"/>
        <v>0</v>
      </c>
      <c r="J59">
        <f t="shared" si="1"/>
        <v>0</v>
      </c>
      <c r="K59">
        <f t="shared" si="1"/>
        <v>0</v>
      </c>
    </row>
    <row r="60" spans="1:11" x14ac:dyDescent="0.25">
      <c r="A60">
        <f>Gantt!G78</f>
        <v>0</v>
      </c>
      <c r="B60">
        <f>Gantt!H78</f>
        <v>0</v>
      </c>
      <c r="D60">
        <f>Gantt!L78</f>
        <v>0</v>
      </c>
      <c r="E60">
        <f>Gantt!M78</f>
        <v>0</v>
      </c>
      <c r="G60">
        <f t="shared" si="0"/>
        <v>0</v>
      </c>
      <c r="H60">
        <f t="shared" si="0"/>
        <v>0</v>
      </c>
      <c r="J60">
        <f t="shared" si="1"/>
        <v>0</v>
      </c>
      <c r="K60">
        <f t="shared" si="1"/>
        <v>0</v>
      </c>
    </row>
    <row r="61" spans="1:11" x14ac:dyDescent="0.25">
      <c r="A61">
        <f>Gantt!G79</f>
        <v>0</v>
      </c>
      <c r="B61">
        <f>Gantt!H79</f>
        <v>0</v>
      </c>
      <c r="D61">
        <f>Gantt!L79</f>
        <v>0</v>
      </c>
      <c r="E61">
        <f>Gantt!M79</f>
        <v>0</v>
      </c>
      <c r="G61">
        <f t="shared" si="0"/>
        <v>0</v>
      </c>
      <c r="H61">
        <f t="shared" si="0"/>
        <v>0</v>
      </c>
      <c r="J61">
        <f t="shared" si="1"/>
        <v>0</v>
      </c>
      <c r="K61">
        <f t="shared" si="1"/>
        <v>0</v>
      </c>
    </row>
    <row r="62" spans="1:11" x14ac:dyDescent="0.25">
      <c r="A62">
        <f>Gantt!G80</f>
        <v>0</v>
      </c>
      <c r="B62">
        <f>Gantt!H80</f>
        <v>0</v>
      </c>
      <c r="D62">
        <f>Gantt!L80</f>
        <v>0</v>
      </c>
      <c r="E62">
        <f>Gantt!M80</f>
        <v>0</v>
      </c>
      <c r="G62">
        <f t="shared" si="0"/>
        <v>0</v>
      </c>
      <c r="H62">
        <f t="shared" si="0"/>
        <v>0</v>
      </c>
      <c r="J62">
        <f t="shared" si="1"/>
        <v>0</v>
      </c>
      <c r="K62">
        <f t="shared" si="1"/>
        <v>0</v>
      </c>
    </row>
    <row r="63" spans="1:11" x14ac:dyDescent="0.25">
      <c r="A63">
        <f>Gantt!G81</f>
        <v>0</v>
      </c>
      <c r="B63">
        <f>Gantt!H81</f>
        <v>0</v>
      </c>
      <c r="D63">
        <f>Gantt!L81</f>
        <v>0</v>
      </c>
      <c r="E63">
        <f>Gantt!M81</f>
        <v>0</v>
      </c>
      <c r="G63">
        <f t="shared" si="0"/>
        <v>0</v>
      </c>
      <c r="H63">
        <f t="shared" si="0"/>
        <v>0</v>
      </c>
      <c r="J63">
        <f t="shared" si="1"/>
        <v>0</v>
      </c>
      <c r="K63">
        <f t="shared" si="1"/>
        <v>0</v>
      </c>
    </row>
    <row r="64" spans="1:11" x14ac:dyDescent="0.25">
      <c r="A64">
        <f>Gantt!G82</f>
        <v>0</v>
      </c>
      <c r="B64">
        <f>Gantt!H82</f>
        <v>0</v>
      </c>
      <c r="D64">
        <f>Gantt!L82</f>
        <v>0</v>
      </c>
      <c r="E64">
        <f>Gantt!M82</f>
        <v>0</v>
      </c>
      <c r="G64">
        <f t="shared" si="0"/>
        <v>0</v>
      </c>
      <c r="H64">
        <f t="shared" si="0"/>
        <v>0</v>
      </c>
      <c r="J64">
        <f t="shared" si="1"/>
        <v>0</v>
      </c>
      <c r="K64">
        <f t="shared" si="1"/>
        <v>0</v>
      </c>
    </row>
    <row r="65" spans="1:11" x14ac:dyDescent="0.25">
      <c r="A65">
        <f>Gantt!G83</f>
        <v>0</v>
      </c>
      <c r="B65">
        <f>Gantt!H83</f>
        <v>0</v>
      </c>
      <c r="D65">
        <f>Gantt!L83</f>
        <v>0</v>
      </c>
      <c r="E65">
        <f>Gantt!M83</f>
        <v>0</v>
      </c>
      <c r="G65">
        <f t="shared" si="0"/>
        <v>0</v>
      </c>
      <c r="H65">
        <f t="shared" si="0"/>
        <v>0</v>
      </c>
      <c r="J65">
        <f t="shared" si="1"/>
        <v>0</v>
      </c>
      <c r="K65">
        <f t="shared" si="1"/>
        <v>0</v>
      </c>
    </row>
    <row r="66" spans="1:11" x14ac:dyDescent="0.25">
      <c r="A66">
        <f>Gantt!G84</f>
        <v>0</v>
      </c>
      <c r="B66">
        <f>Gantt!H84</f>
        <v>0</v>
      </c>
      <c r="D66">
        <f>Gantt!L84</f>
        <v>0</v>
      </c>
      <c r="E66">
        <f>Gantt!M84</f>
        <v>0</v>
      </c>
      <c r="G66">
        <f t="shared" si="0"/>
        <v>0</v>
      </c>
      <c r="H66">
        <f t="shared" si="0"/>
        <v>0</v>
      </c>
      <c r="J66">
        <f t="shared" si="1"/>
        <v>0</v>
      </c>
      <c r="K66">
        <f t="shared" si="1"/>
        <v>0</v>
      </c>
    </row>
    <row r="67" spans="1:11" x14ac:dyDescent="0.25">
      <c r="A67">
        <f>Gantt!G85</f>
        <v>0</v>
      </c>
      <c r="B67">
        <f>Gantt!H85</f>
        <v>0</v>
      </c>
      <c r="D67">
        <f>Gantt!L85</f>
        <v>0</v>
      </c>
      <c r="E67">
        <f>Gantt!M85</f>
        <v>0</v>
      </c>
      <c r="G67">
        <f t="shared" si="0"/>
        <v>0</v>
      </c>
      <c r="H67">
        <f t="shared" si="0"/>
        <v>0</v>
      </c>
      <c r="J67">
        <f t="shared" si="1"/>
        <v>0</v>
      </c>
      <c r="K67">
        <f t="shared" si="1"/>
        <v>0</v>
      </c>
    </row>
    <row r="68" spans="1:11" x14ac:dyDescent="0.25">
      <c r="A68">
        <f>Gantt!G86</f>
        <v>0</v>
      </c>
      <c r="B68">
        <f>Gantt!H86</f>
        <v>0</v>
      </c>
      <c r="D68">
        <f>Gantt!L86</f>
        <v>0</v>
      </c>
      <c r="E68">
        <f>Gantt!M86</f>
        <v>0</v>
      </c>
      <c r="G68">
        <f t="shared" ref="G68:H100" si="2">IF(IF(D68&lt;&gt;0,D68-A68, 0)&lt;0,0,IF(D68&lt;&gt;0,D68-A68, 0))</f>
        <v>0</v>
      </c>
      <c r="H68">
        <f t="shared" si="2"/>
        <v>0</v>
      </c>
      <c r="J68">
        <f t="shared" ref="J68:K99" si="3">IF(AND(A68&lt;&gt;0,D68&lt;&gt;0),D68-A68,0)</f>
        <v>0</v>
      </c>
      <c r="K68">
        <f t="shared" si="3"/>
        <v>0</v>
      </c>
    </row>
    <row r="69" spans="1:11" x14ac:dyDescent="0.25">
      <c r="A69">
        <f>Gantt!G87</f>
        <v>0</v>
      </c>
      <c r="B69">
        <f>Gantt!H87</f>
        <v>0</v>
      </c>
      <c r="D69">
        <f>Gantt!L87</f>
        <v>0</v>
      </c>
      <c r="E69">
        <f>Gantt!M87</f>
        <v>0</v>
      </c>
      <c r="G69">
        <f t="shared" si="2"/>
        <v>0</v>
      </c>
      <c r="H69">
        <f t="shared" si="2"/>
        <v>0</v>
      </c>
      <c r="J69">
        <f t="shared" si="3"/>
        <v>0</v>
      </c>
      <c r="K69">
        <f t="shared" si="3"/>
        <v>0</v>
      </c>
    </row>
    <row r="70" spans="1:11" x14ac:dyDescent="0.25">
      <c r="A70">
        <f>Gantt!G88</f>
        <v>0</v>
      </c>
      <c r="B70">
        <f>Gantt!H88</f>
        <v>0</v>
      </c>
      <c r="D70">
        <f>Gantt!L88</f>
        <v>0</v>
      </c>
      <c r="E70">
        <f>Gantt!M88</f>
        <v>0</v>
      </c>
      <c r="G70">
        <f t="shared" si="2"/>
        <v>0</v>
      </c>
      <c r="H70">
        <f t="shared" si="2"/>
        <v>0</v>
      </c>
      <c r="J70">
        <f t="shared" si="3"/>
        <v>0</v>
      </c>
      <c r="K70">
        <f t="shared" si="3"/>
        <v>0</v>
      </c>
    </row>
    <row r="71" spans="1:11" x14ac:dyDescent="0.25">
      <c r="A71">
        <f>Gantt!G89</f>
        <v>0</v>
      </c>
      <c r="B71">
        <f>Gantt!H89</f>
        <v>0</v>
      </c>
      <c r="D71">
        <f>Gantt!L89</f>
        <v>0</v>
      </c>
      <c r="E71">
        <f>Gantt!M89</f>
        <v>0</v>
      </c>
      <c r="G71">
        <f t="shared" si="2"/>
        <v>0</v>
      </c>
      <c r="H71">
        <f t="shared" si="2"/>
        <v>0</v>
      </c>
      <c r="J71">
        <f t="shared" si="3"/>
        <v>0</v>
      </c>
      <c r="K71">
        <f t="shared" si="3"/>
        <v>0</v>
      </c>
    </row>
    <row r="72" spans="1:11" x14ac:dyDescent="0.25">
      <c r="A72">
        <f>Gantt!G90</f>
        <v>0</v>
      </c>
      <c r="B72">
        <f>Gantt!H90</f>
        <v>0</v>
      </c>
      <c r="D72">
        <f>Gantt!L90</f>
        <v>0</v>
      </c>
      <c r="E72">
        <f>Gantt!M90</f>
        <v>0</v>
      </c>
      <c r="G72">
        <f t="shared" si="2"/>
        <v>0</v>
      </c>
      <c r="H72">
        <f t="shared" si="2"/>
        <v>0</v>
      </c>
      <c r="J72">
        <f t="shared" si="3"/>
        <v>0</v>
      </c>
      <c r="K72">
        <f t="shared" si="3"/>
        <v>0</v>
      </c>
    </row>
    <row r="73" spans="1:11" x14ac:dyDescent="0.25">
      <c r="A73">
        <f>Gantt!G91</f>
        <v>0</v>
      </c>
      <c r="B73">
        <f>Gantt!H91</f>
        <v>0</v>
      </c>
      <c r="D73">
        <f>Gantt!L91</f>
        <v>0</v>
      </c>
      <c r="E73">
        <f>Gantt!M91</f>
        <v>0</v>
      </c>
      <c r="G73">
        <f t="shared" si="2"/>
        <v>0</v>
      </c>
      <c r="H73">
        <f t="shared" si="2"/>
        <v>0</v>
      </c>
      <c r="J73">
        <f t="shared" si="3"/>
        <v>0</v>
      </c>
      <c r="K73">
        <f t="shared" si="3"/>
        <v>0</v>
      </c>
    </row>
    <row r="74" spans="1:11" x14ac:dyDescent="0.25">
      <c r="A74">
        <f>Gantt!G92</f>
        <v>0</v>
      </c>
      <c r="B74">
        <f>Gantt!H92</f>
        <v>0</v>
      </c>
      <c r="D74">
        <f>Gantt!L92</f>
        <v>0</v>
      </c>
      <c r="E74">
        <f>Gantt!M92</f>
        <v>0</v>
      </c>
      <c r="G74">
        <f t="shared" si="2"/>
        <v>0</v>
      </c>
      <c r="H74">
        <f t="shared" si="2"/>
        <v>0</v>
      </c>
      <c r="J74">
        <f t="shared" si="3"/>
        <v>0</v>
      </c>
      <c r="K74">
        <f t="shared" si="3"/>
        <v>0</v>
      </c>
    </row>
    <row r="75" spans="1:11" x14ac:dyDescent="0.25">
      <c r="A75">
        <f>Gantt!G93</f>
        <v>0</v>
      </c>
      <c r="B75">
        <f>Gantt!H93</f>
        <v>0</v>
      </c>
      <c r="D75">
        <f>Gantt!L93</f>
        <v>0</v>
      </c>
      <c r="E75">
        <f>Gantt!M93</f>
        <v>0</v>
      </c>
      <c r="G75">
        <f t="shared" si="2"/>
        <v>0</v>
      </c>
      <c r="H75">
        <f t="shared" si="2"/>
        <v>0</v>
      </c>
      <c r="J75">
        <f t="shared" si="3"/>
        <v>0</v>
      </c>
      <c r="K75">
        <f t="shared" si="3"/>
        <v>0</v>
      </c>
    </row>
    <row r="76" spans="1:11" x14ac:dyDescent="0.25">
      <c r="A76">
        <f>Gantt!G94</f>
        <v>0</v>
      </c>
      <c r="B76">
        <f>Gantt!H94</f>
        <v>0</v>
      </c>
      <c r="D76">
        <f>Gantt!L94</f>
        <v>0</v>
      </c>
      <c r="E76">
        <f>Gantt!M94</f>
        <v>0</v>
      </c>
      <c r="G76">
        <f t="shared" si="2"/>
        <v>0</v>
      </c>
      <c r="H76">
        <f t="shared" si="2"/>
        <v>0</v>
      </c>
      <c r="J76">
        <f t="shared" si="3"/>
        <v>0</v>
      </c>
      <c r="K76">
        <f t="shared" si="3"/>
        <v>0</v>
      </c>
    </row>
    <row r="77" spans="1:11" x14ac:dyDescent="0.25">
      <c r="A77">
        <f>Gantt!G95</f>
        <v>0</v>
      </c>
      <c r="B77">
        <f>Gantt!H95</f>
        <v>0</v>
      </c>
      <c r="D77">
        <f>Gantt!L95</f>
        <v>0</v>
      </c>
      <c r="E77">
        <f>Gantt!M95</f>
        <v>0</v>
      </c>
      <c r="G77">
        <f t="shared" si="2"/>
        <v>0</v>
      </c>
      <c r="H77">
        <f t="shared" si="2"/>
        <v>0</v>
      </c>
      <c r="J77">
        <f t="shared" si="3"/>
        <v>0</v>
      </c>
      <c r="K77">
        <f t="shared" si="3"/>
        <v>0</v>
      </c>
    </row>
    <row r="78" spans="1:11" x14ac:dyDescent="0.25">
      <c r="A78">
        <f>Gantt!G96</f>
        <v>0</v>
      </c>
      <c r="B78">
        <f>Gantt!H96</f>
        <v>0</v>
      </c>
      <c r="D78">
        <f>Gantt!L96</f>
        <v>0</v>
      </c>
      <c r="E78">
        <f>Gantt!M96</f>
        <v>0</v>
      </c>
      <c r="G78">
        <f t="shared" si="2"/>
        <v>0</v>
      </c>
      <c r="H78">
        <f t="shared" si="2"/>
        <v>0</v>
      </c>
      <c r="J78">
        <f t="shared" si="3"/>
        <v>0</v>
      </c>
      <c r="K78">
        <f t="shared" si="3"/>
        <v>0</v>
      </c>
    </row>
    <row r="79" spans="1:11" x14ac:dyDescent="0.25">
      <c r="A79">
        <f>Gantt!G97</f>
        <v>0</v>
      </c>
      <c r="B79">
        <f>Gantt!H97</f>
        <v>0</v>
      </c>
      <c r="D79">
        <f>Gantt!L97</f>
        <v>0</v>
      </c>
      <c r="E79">
        <f>Gantt!M97</f>
        <v>0</v>
      </c>
      <c r="G79">
        <f t="shared" si="2"/>
        <v>0</v>
      </c>
      <c r="H79">
        <f t="shared" si="2"/>
        <v>0</v>
      </c>
      <c r="J79">
        <f t="shared" si="3"/>
        <v>0</v>
      </c>
      <c r="K79">
        <f t="shared" si="3"/>
        <v>0</v>
      </c>
    </row>
    <row r="80" spans="1:11" x14ac:dyDescent="0.25">
      <c r="A80">
        <f>Gantt!G98</f>
        <v>0</v>
      </c>
      <c r="B80">
        <f>Gantt!H98</f>
        <v>0</v>
      </c>
      <c r="D80">
        <f>Gantt!L98</f>
        <v>0</v>
      </c>
      <c r="E80">
        <f>Gantt!M98</f>
        <v>0</v>
      </c>
      <c r="G80">
        <f t="shared" si="2"/>
        <v>0</v>
      </c>
      <c r="H80">
        <f t="shared" si="2"/>
        <v>0</v>
      </c>
      <c r="J80">
        <f t="shared" si="3"/>
        <v>0</v>
      </c>
      <c r="K80">
        <f t="shared" si="3"/>
        <v>0</v>
      </c>
    </row>
    <row r="81" spans="1:11" x14ac:dyDescent="0.25">
      <c r="A81">
        <f>Gantt!G99</f>
        <v>0</v>
      </c>
      <c r="B81">
        <f>Gantt!H99</f>
        <v>0</v>
      </c>
      <c r="D81">
        <f>Gantt!L99</f>
        <v>0</v>
      </c>
      <c r="E81">
        <f>Gantt!M99</f>
        <v>0</v>
      </c>
      <c r="G81">
        <f t="shared" si="2"/>
        <v>0</v>
      </c>
      <c r="H81">
        <f t="shared" si="2"/>
        <v>0</v>
      </c>
      <c r="J81">
        <f t="shared" si="3"/>
        <v>0</v>
      </c>
      <c r="K81">
        <f t="shared" si="3"/>
        <v>0</v>
      </c>
    </row>
    <row r="82" spans="1:11" x14ac:dyDescent="0.25">
      <c r="A82">
        <f>Gantt!G100</f>
        <v>0</v>
      </c>
      <c r="B82">
        <f>Gantt!H100</f>
        <v>0</v>
      </c>
      <c r="D82">
        <f>Gantt!L100</f>
        <v>0</v>
      </c>
      <c r="E82">
        <f>Gantt!M100</f>
        <v>0</v>
      </c>
      <c r="G82">
        <f t="shared" si="2"/>
        <v>0</v>
      </c>
      <c r="H82">
        <f t="shared" si="2"/>
        <v>0</v>
      </c>
      <c r="J82">
        <f t="shared" si="3"/>
        <v>0</v>
      </c>
      <c r="K82">
        <f t="shared" si="3"/>
        <v>0</v>
      </c>
    </row>
    <row r="83" spans="1:11" x14ac:dyDescent="0.25">
      <c r="A83">
        <f>Gantt!G101</f>
        <v>0</v>
      </c>
      <c r="B83">
        <f>Gantt!H101</f>
        <v>0</v>
      </c>
      <c r="D83">
        <f>Gantt!L101</f>
        <v>0</v>
      </c>
      <c r="E83">
        <f>Gantt!M101</f>
        <v>0</v>
      </c>
      <c r="G83">
        <f t="shared" si="2"/>
        <v>0</v>
      </c>
      <c r="H83">
        <f t="shared" si="2"/>
        <v>0</v>
      </c>
      <c r="J83">
        <f t="shared" si="3"/>
        <v>0</v>
      </c>
      <c r="K83">
        <f t="shared" si="3"/>
        <v>0</v>
      </c>
    </row>
    <row r="84" spans="1:11" x14ac:dyDescent="0.25">
      <c r="A84">
        <f>Gantt!G102</f>
        <v>0</v>
      </c>
      <c r="B84">
        <f>Gantt!H102</f>
        <v>0</v>
      </c>
      <c r="D84">
        <f>Gantt!L102</f>
        <v>0</v>
      </c>
      <c r="E84">
        <f>Gantt!M102</f>
        <v>0</v>
      </c>
      <c r="G84">
        <f t="shared" si="2"/>
        <v>0</v>
      </c>
      <c r="H84">
        <f t="shared" si="2"/>
        <v>0</v>
      </c>
      <c r="J84">
        <f t="shared" si="3"/>
        <v>0</v>
      </c>
      <c r="K84">
        <f t="shared" si="3"/>
        <v>0</v>
      </c>
    </row>
    <row r="85" spans="1:11" x14ac:dyDescent="0.25">
      <c r="A85">
        <f>Gantt!G103</f>
        <v>0</v>
      </c>
      <c r="B85">
        <f>Gantt!H103</f>
        <v>0</v>
      </c>
      <c r="D85">
        <f>Gantt!L103</f>
        <v>0</v>
      </c>
      <c r="E85">
        <f>Gantt!M103</f>
        <v>0</v>
      </c>
      <c r="G85">
        <f t="shared" si="2"/>
        <v>0</v>
      </c>
      <c r="H85">
        <f t="shared" si="2"/>
        <v>0</v>
      </c>
      <c r="J85">
        <f t="shared" si="3"/>
        <v>0</v>
      </c>
      <c r="K85">
        <f t="shared" si="3"/>
        <v>0</v>
      </c>
    </row>
    <row r="86" spans="1:11" x14ac:dyDescent="0.25">
      <c r="A86">
        <f>Gantt!G104</f>
        <v>0</v>
      </c>
      <c r="B86">
        <f>Gantt!H104</f>
        <v>0</v>
      </c>
      <c r="D86">
        <f>Gantt!L104</f>
        <v>0</v>
      </c>
      <c r="E86">
        <f>Gantt!M104</f>
        <v>0</v>
      </c>
      <c r="G86">
        <f t="shared" si="2"/>
        <v>0</v>
      </c>
      <c r="H86">
        <f t="shared" si="2"/>
        <v>0</v>
      </c>
      <c r="J86">
        <f t="shared" si="3"/>
        <v>0</v>
      </c>
      <c r="K86">
        <f t="shared" si="3"/>
        <v>0</v>
      </c>
    </row>
    <row r="87" spans="1:11" x14ac:dyDescent="0.25">
      <c r="A87">
        <f>Gantt!G105</f>
        <v>0</v>
      </c>
      <c r="B87">
        <f>Gantt!H105</f>
        <v>0</v>
      </c>
      <c r="D87">
        <f>Gantt!L105</f>
        <v>0</v>
      </c>
      <c r="E87">
        <f>Gantt!M105</f>
        <v>0</v>
      </c>
      <c r="G87">
        <f t="shared" si="2"/>
        <v>0</v>
      </c>
      <c r="H87">
        <f t="shared" si="2"/>
        <v>0</v>
      </c>
      <c r="J87">
        <f t="shared" si="3"/>
        <v>0</v>
      </c>
      <c r="K87">
        <f t="shared" si="3"/>
        <v>0</v>
      </c>
    </row>
    <row r="88" spans="1:11" x14ac:dyDescent="0.25">
      <c r="A88">
        <f>Gantt!G106</f>
        <v>0</v>
      </c>
      <c r="B88">
        <f>Gantt!H106</f>
        <v>0</v>
      </c>
      <c r="D88">
        <f>Gantt!L106</f>
        <v>0</v>
      </c>
      <c r="E88">
        <f>Gantt!M106</f>
        <v>0</v>
      </c>
      <c r="G88">
        <f t="shared" si="2"/>
        <v>0</v>
      </c>
      <c r="H88">
        <f t="shared" si="2"/>
        <v>0</v>
      </c>
      <c r="J88">
        <f t="shared" si="3"/>
        <v>0</v>
      </c>
      <c r="K88">
        <f t="shared" si="3"/>
        <v>0</v>
      </c>
    </row>
    <row r="89" spans="1:11" x14ac:dyDescent="0.25">
      <c r="A89">
        <f>Gantt!G107</f>
        <v>0</v>
      </c>
      <c r="B89">
        <f>Gantt!H107</f>
        <v>0</v>
      </c>
      <c r="D89">
        <f>Gantt!L107</f>
        <v>0</v>
      </c>
      <c r="E89">
        <f>Gantt!M107</f>
        <v>0</v>
      </c>
      <c r="G89">
        <f t="shared" si="2"/>
        <v>0</v>
      </c>
      <c r="H89">
        <f t="shared" si="2"/>
        <v>0</v>
      </c>
      <c r="J89">
        <f t="shared" si="3"/>
        <v>0</v>
      </c>
      <c r="K89">
        <f t="shared" si="3"/>
        <v>0</v>
      </c>
    </row>
    <row r="90" spans="1:11" x14ac:dyDescent="0.25">
      <c r="A90">
        <f>Gantt!G108</f>
        <v>0</v>
      </c>
      <c r="B90">
        <f>Gantt!H108</f>
        <v>0</v>
      </c>
      <c r="D90">
        <f>Gantt!L108</f>
        <v>0</v>
      </c>
      <c r="E90">
        <f>Gantt!M108</f>
        <v>0</v>
      </c>
      <c r="G90">
        <f t="shared" si="2"/>
        <v>0</v>
      </c>
      <c r="H90">
        <f t="shared" si="2"/>
        <v>0</v>
      </c>
      <c r="J90">
        <f t="shared" si="3"/>
        <v>0</v>
      </c>
      <c r="K90">
        <f t="shared" si="3"/>
        <v>0</v>
      </c>
    </row>
    <row r="91" spans="1:11" x14ac:dyDescent="0.25">
      <c r="A91">
        <f>Gantt!G109</f>
        <v>0</v>
      </c>
      <c r="B91">
        <f>Gantt!H109</f>
        <v>0</v>
      </c>
      <c r="D91">
        <f>Gantt!L109</f>
        <v>0</v>
      </c>
      <c r="E91">
        <f>Gantt!M109</f>
        <v>0</v>
      </c>
      <c r="G91">
        <f t="shared" si="2"/>
        <v>0</v>
      </c>
      <c r="H91">
        <f t="shared" si="2"/>
        <v>0</v>
      </c>
      <c r="J91">
        <f t="shared" si="3"/>
        <v>0</v>
      </c>
      <c r="K91">
        <f t="shared" si="3"/>
        <v>0</v>
      </c>
    </row>
    <row r="92" spans="1:11" x14ac:dyDescent="0.25">
      <c r="A92">
        <f>Gantt!G110</f>
        <v>0</v>
      </c>
      <c r="B92">
        <f>Gantt!H110</f>
        <v>0</v>
      </c>
      <c r="D92">
        <f>Gantt!L110</f>
        <v>0</v>
      </c>
      <c r="E92">
        <f>Gantt!M110</f>
        <v>0</v>
      </c>
      <c r="G92">
        <f t="shared" si="2"/>
        <v>0</v>
      </c>
      <c r="H92">
        <f t="shared" si="2"/>
        <v>0</v>
      </c>
      <c r="J92">
        <f t="shared" si="3"/>
        <v>0</v>
      </c>
      <c r="K92">
        <f t="shared" si="3"/>
        <v>0</v>
      </c>
    </row>
    <row r="93" spans="1:11" x14ac:dyDescent="0.25">
      <c r="A93">
        <f>Gantt!G111</f>
        <v>0</v>
      </c>
      <c r="B93">
        <f>Gantt!H111</f>
        <v>0</v>
      </c>
      <c r="D93">
        <f>Gantt!L111</f>
        <v>0</v>
      </c>
      <c r="E93">
        <f>Gantt!M111</f>
        <v>0</v>
      </c>
      <c r="G93">
        <f t="shared" si="2"/>
        <v>0</v>
      </c>
      <c r="H93">
        <f t="shared" si="2"/>
        <v>0</v>
      </c>
      <c r="J93">
        <f t="shared" si="3"/>
        <v>0</v>
      </c>
      <c r="K93">
        <f t="shared" si="3"/>
        <v>0</v>
      </c>
    </row>
    <row r="94" spans="1:11" x14ac:dyDescent="0.25">
      <c r="A94">
        <f>Gantt!G112</f>
        <v>0</v>
      </c>
      <c r="B94">
        <f>Gantt!H112</f>
        <v>0</v>
      </c>
      <c r="D94">
        <f>Gantt!L112</f>
        <v>0</v>
      </c>
      <c r="E94">
        <f>Gantt!M112</f>
        <v>0</v>
      </c>
      <c r="G94">
        <f t="shared" si="2"/>
        <v>0</v>
      </c>
      <c r="H94">
        <f t="shared" si="2"/>
        <v>0</v>
      </c>
      <c r="J94">
        <f t="shared" si="3"/>
        <v>0</v>
      </c>
      <c r="K94">
        <f t="shared" si="3"/>
        <v>0</v>
      </c>
    </row>
    <row r="95" spans="1:11" x14ac:dyDescent="0.25">
      <c r="A95">
        <f>Gantt!G113</f>
        <v>0</v>
      </c>
      <c r="B95">
        <f>Gantt!H113</f>
        <v>0</v>
      </c>
      <c r="D95">
        <f>Gantt!L113</f>
        <v>0</v>
      </c>
      <c r="E95">
        <f>Gantt!M113</f>
        <v>0</v>
      </c>
      <c r="G95">
        <f t="shared" si="2"/>
        <v>0</v>
      </c>
      <c r="H95">
        <f t="shared" si="2"/>
        <v>0</v>
      </c>
      <c r="J95">
        <f t="shared" si="3"/>
        <v>0</v>
      </c>
      <c r="K95">
        <f t="shared" si="3"/>
        <v>0</v>
      </c>
    </row>
    <row r="96" spans="1:11" x14ac:dyDescent="0.25">
      <c r="A96">
        <f>Gantt!G114</f>
        <v>0</v>
      </c>
      <c r="B96">
        <f>Gantt!H114</f>
        <v>0</v>
      </c>
      <c r="D96">
        <f>Gantt!L114</f>
        <v>0</v>
      </c>
      <c r="E96">
        <f>Gantt!M114</f>
        <v>0</v>
      </c>
      <c r="G96">
        <f t="shared" si="2"/>
        <v>0</v>
      </c>
      <c r="H96">
        <f t="shared" si="2"/>
        <v>0</v>
      </c>
      <c r="J96">
        <f t="shared" si="3"/>
        <v>0</v>
      </c>
      <c r="K96">
        <f t="shared" si="3"/>
        <v>0</v>
      </c>
    </row>
    <row r="97" spans="1:11" x14ac:dyDescent="0.25">
      <c r="A97">
        <f>Gantt!G115</f>
        <v>0</v>
      </c>
      <c r="B97">
        <f>Gantt!H115</f>
        <v>0</v>
      </c>
      <c r="D97">
        <f>Gantt!L115</f>
        <v>0</v>
      </c>
      <c r="E97">
        <f>Gantt!M115</f>
        <v>0</v>
      </c>
      <c r="G97">
        <f t="shared" si="2"/>
        <v>0</v>
      </c>
      <c r="H97">
        <f t="shared" si="2"/>
        <v>0</v>
      </c>
      <c r="J97">
        <f t="shared" si="3"/>
        <v>0</v>
      </c>
      <c r="K97">
        <f t="shared" si="3"/>
        <v>0</v>
      </c>
    </row>
    <row r="98" spans="1:11" x14ac:dyDescent="0.25">
      <c r="A98">
        <f>Gantt!G116</f>
        <v>0</v>
      </c>
      <c r="B98">
        <f>Gantt!H116</f>
        <v>0</v>
      </c>
      <c r="D98">
        <f>Gantt!L116</f>
        <v>0</v>
      </c>
      <c r="E98">
        <f>Gantt!M116</f>
        <v>0</v>
      </c>
      <c r="G98">
        <f t="shared" si="2"/>
        <v>0</v>
      </c>
      <c r="H98">
        <f t="shared" si="2"/>
        <v>0</v>
      </c>
      <c r="J98">
        <f t="shared" si="3"/>
        <v>0</v>
      </c>
      <c r="K98">
        <f t="shared" si="3"/>
        <v>0</v>
      </c>
    </row>
    <row r="99" spans="1:11" x14ac:dyDescent="0.25">
      <c r="A99">
        <f>Gantt!G117</f>
        <v>0</v>
      </c>
      <c r="B99">
        <f>Gantt!H117</f>
        <v>0</v>
      </c>
      <c r="D99">
        <f>Gantt!L117</f>
        <v>0</v>
      </c>
      <c r="E99">
        <f>Gantt!M117</f>
        <v>0</v>
      </c>
      <c r="G99">
        <f t="shared" si="2"/>
        <v>0</v>
      </c>
      <c r="H99">
        <f t="shared" si="2"/>
        <v>0</v>
      </c>
      <c r="J99">
        <f t="shared" si="3"/>
        <v>0</v>
      </c>
      <c r="K99">
        <f t="shared" si="3"/>
        <v>0</v>
      </c>
    </row>
    <row r="100" spans="1:11" x14ac:dyDescent="0.25">
      <c r="A100">
        <f>Gantt!G118</f>
        <v>0</v>
      </c>
      <c r="B100">
        <f>Gantt!H118</f>
        <v>0</v>
      </c>
      <c r="D100">
        <f>Gantt!L118</f>
        <v>0</v>
      </c>
      <c r="E100">
        <f>Gantt!M118</f>
        <v>0</v>
      </c>
      <c r="G100">
        <f t="shared" si="2"/>
        <v>0</v>
      </c>
      <c r="H100">
        <f t="shared" si="2"/>
        <v>0</v>
      </c>
      <c r="J100">
        <f>IF(AND(A100&lt;&gt;0,D100&lt;&gt;0),D100-A100,0)</f>
        <v>0</v>
      </c>
      <c r="K100">
        <f>IF(AND(B100&lt;&gt;0,E100&lt;&gt;0),E100-B100,0)</f>
        <v>0</v>
      </c>
    </row>
  </sheetData>
  <mergeCells count="2">
    <mergeCell ref="A1:B1"/>
    <mergeCell ref="D1:E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Gantt</vt:lpstr>
      <vt:lpstr>Parametre Gantt</vt:lpstr>
      <vt:lpstr>Donnée</vt:lpstr>
      <vt:lpstr>Gantt!Zone_d_impression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Yann COJAN</dc:creator>
  <cp:lastModifiedBy>antoine cojan</cp:lastModifiedBy>
  <cp:lastPrinted>2024-01-19T14:21:44Z</cp:lastPrinted>
  <dcterms:created xsi:type="dcterms:W3CDTF">2023-11-24T13:18:15Z</dcterms:created>
  <dcterms:modified xsi:type="dcterms:W3CDTF">2024-10-11T06:32:17Z</dcterms:modified>
</cp:coreProperties>
</file>