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025" codeName="{372AB895-14C1-FC20-EB20-F1B4BCFD95AE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Users\cojan\OneDrive\Documents\Yann\COURS_ECOLE\ICAM\2024-2025\Mécatro\Gantt_Mecatro\"/>
    </mc:Choice>
  </mc:AlternateContent>
  <xr:revisionPtr revIDLastSave="0" documentId="13_ncr:1_{FE923895-3AC4-4CC1-A7D6-5EBC6795B773}" xr6:coauthVersionLast="47" xr6:coauthVersionMax="47" xr10:uidLastSave="{00000000-0000-0000-0000-000000000000}"/>
  <bookViews>
    <workbookView xWindow="-120" yWindow="-120" windowWidth="24240" windowHeight="13140" xr2:uid="{51C4A844-86E1-494C-AF45-73D3C647F81B}"/>
  </bookViews>
  <sheets>
    <sheet name="Gantt" sheetId="1" r:id="rId1"/>
    <sheet name="Parametre Gantt" sheetId="2" r:id="rId2"/>
  </sheets>
  <externalReferences>
    <externalReference r:id="rId3"/>
    <externalReference r:id="rId4"/>
  </externalReferences>
  <definedNames>
    <definedName name="DATA_">#REF!</definedName>
    <definedName name="DATA_TAB">#REF!</definedName>
    <definedName name="Entretien_nettoyage">[1]abud!#REF!</definedName>
    <definedName name="Graisse_siliconne">[1]abud!$A$1</definedName>
    <definedName name="Graisses_Siliconne">[1]abud!#REF!</definedName>
    <definedName name="ListeArticle">[2]BaseFamille!$B$2:$B$113</definedName>
    <definedName name="Prestation_Informatique">[1]abud!$A$687</definedName>
    <definedName name="_xlnm.Print_Area" localSheetId="0">Gantt!$E$31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K29" i="1" l="1"/>
  <c r="O29" i="1"/>
  <c r="O14" i="1" l="1"/>
  <c r="O21" i="1"/>
  <c r="O22" i="1"/>
  <c r="O30" i="1"/>
  <c r="O31" i="1"/>
  <c r="O33" i="1"/>
  <c r="D49" i="1"/>
  <c r="D50" i="1"/>
  <c r="D51" i="1"/>
  <c r="D52" i="1"/>
  <c r="D53" i="1"/>
  <c r="D54" i="1"/>
  <c r="D55" i="1"/>
  <c r="D56" i="1"/>
  <c r="D57" i="1"/>
  <c r="D15" i="1"/>
  <c r="D16" i="1"/>
  <c r="D17" i="1"/>
  <c r="D18" i="1"/>
  <c r="D19" i="1"/>
  <c r="D20" i="1"/>
  <c r="D21" i="1"/>
  <c r="D22" i="1"/>
  <c r="D23" i="1"/>
  <c r="D24" i="1"/>
  <c r="D25" i="1"/>
  <c r="D26" i="1"/>
  <c r="D27" i="1"/>
  <c r="D28" i="1"/>
  <c r="D30" i="1"/>
  <c r="D31" i="1"/>
  <c r="D32" i="1"/>
  <c r="D33" i="1"/>
  <c r="D34" i="1"/>
  <c r="D35" i="1"/>
  <c r="D36" i="1"/>
  <c r="D37" i="1"/>
  <c r="D38" i="1"/>
  <c r="D39" i="1"/>
  <c r="D40" i="1"/>
  <c r="D41" i="1"/>
  <c r="D42" i="1"/>
  <c r="D43" i="1"/>
  <c r="D44" i="1"/>
  <c r="D45" i="1"/>
  <c r="D46" i="1"/>
  <c r="D47" i="1"/>
  <c r="D48" i="1"/>
  <c r="D14" i="1"/>
  <c r="F33" i="1"/>
  <c r="F34" i="1"/>
  <c r="F35" i="1"/>
  <c r="F36" i="1"/>
  <c r="F37" i="1"/>
  <c r="F38" i="1"/>
  <c r="F39" i="1"/>
  <c r="F40" i="1"/>
  <c r="F41" i="1"/>
  <c r="F42" i="1"/>
  <c r="F43" i="1"/>
  <c r="F44" i="1"/>
  <c r="F45" i="1"/>
  <c r="F46" i="1"/>
  <c r="F47" i="1"/>
  <c r="F48" i="1"/>
  <c r="F49" i="1"/>
  <c r="F50" i="1"/>
  <c r="F51" i="1"/>
  <c r="F52" i="1"/>
  <c r="F53" i="1"/>
  <c r="F54" i="1"/>
  <c r="F55" i="1"/>
  <c r="F56" i="1"/>
  <c r="F57" i="1"/>
  <c r="F15" i="1"/>
  <c r="F16" i="1"/>
  <c r="F17" i="1"/>
  <c r="F18" i="1"/>
  <c r="F19" i="1"/>
  <c r="F20" i="1"/>
  <c r="F21" i="1"/>
  <c r="F22" i="1"/>
  <c r="F23" i="1"/>
  <c r="F24" i="1"/>
  <c r="F25" i="1"/>
  <c r="F26" i="1"/>
  <c r="F27" i="1"/>
  <c r="F28" i="1"/>
  <c r="F30" i="1"/>
  <c r="F31" i="1"/>
  <c r="F32" i="1"/>
  <c r="F14" i="1"/>
  <c r="K25" i="1"/>
  <c r="O25" i="1"/>
  <c r="A6" i="2"/>
  <c r="A3" i="2"/>
  <c r="A4" i="2"/>
  <c r="A5" i="2"/>
  <c r="O15" i="1"/>
  <c r="O16" i="1"/>
  <c r="O17" i="1"/>
  <c r="O18" i="1"/>
  <c r="O19" i="1"/>
  <c r="O23" i="1"/>
  <c r="O24" i="1"/>
  <c r="O26" i="1"/>
  <c r="O27" i="1"/>
  <c r="O28" i="1"/>
  <c r="O32" i="1"/>
  <c r="O34" i="1"/>
  <c r="O35" i="1"/>
  <c r="O53" i="1"/>
  <c r="O55" i="1"/>
  <c r="O56" i="1"/>
  <c r="O57" i="1"/>
  <c r="O20" i="1"/>
  <c r="K14" i="1"/>
  <c r="K15" i="1"/>
  <c r="K16" i="1"/>
  <c r="K17" i="1"/>
  <c r="K18" i="1"/>
  <c r="K19" i="1"/>
  <c r="K21" i="1"/>
  <c r="K22" i="1"/>
  <c r="K23" i="1"/>
  <c r="K24" i="1"/>
  <c r="K26" i="1"/>
  <c r="K27" i="1"/>
  <c r="K28" i="1"/>
  <c r="K32" i="1"/>
  <c r="K35" i="1"/>
  <c r="K53" i="1"/>
  <c r="K55" i="1"/>
  <c r="K56" i="1"/>
  <c r="K57" i="1"/>
  <c r="K20" i="1"/>
  <c r="N58" i="1"/>
  <c r="H8" i="1"/>
  <c r="BS6" i="1"/>
  <c r="CC10" i="1" l="1" a="1"/>
  <c r="CC10" i="1" s="1"/>
  <c r="CD10" i="1"/>
  <c r="CC11" i="1" a="1"/>
  <c r="CC11" i="1" s="1"/>
  <c r="CD11" i="1"/>
  <c r="CC12" i="1" a="1"/>
  <c r="CC12" i="1" s="1"/>
  <c r="CD12" i="1"/>
  <c r="CC13" i="1" a="1"/>
  <c r="CC13" i="1" s="1"/>
  <c r="CD13" i="1"/>
  <c r="CC14" i="1" a="1"/>
  <c r="CC14" i="1" s="1"/>
  <c r="CD14" i="1"/>
  <c r="CC15" i="1" a="1"/>
  <c r="CC15" i="1" s="1"/>
  <c r="CD15" i="1"/>
  <c r="CC16" i="1" a="1"/>
  <c r="CC16" i="1" s="1"/>
  <c r="CD16" i="1"/>
  <c r="CC17" i="1" a="1"/>
  <c r="CC17" i="1" s="1"/>
  <c r="CD17" i="1"/>
  <c r="K30" i="1" l="1"/>
  <c r="Q9" i="1"/>
  <c r="Q58" i="1" s="1"/>
  <c r="K31" i="1" l="1"/>
  <c r="O58" i="1"/>
  <c r="CC18" i="1"/>
  <c r="CC19" i="1"/>
  <c r="R9" i="1"/>
  <c r="R58" i="1" s="1"/>
  <c r="CC20" i="1"/>
  <c r="CC21" i="1"/>
  <c r="CC22" i="1"/>
  <c r="CC24" i="1"/>
  <c r="CC26" i="1"/>
  <c r="Q13" i="1"/>
  <c r="Q12" i="1"/>
  <c r="Q8" i="1" s="1"/>
  <c r="S9" i="1" l="1"/>
  <c r="S58" i="1" s="1"/>
  <c r="CC27" i="1"/>
  <c r="R12" i="1"/>
  <c r="S12" i="1" l="1"/>
  <c r="T9" i="1"/>
  <c r="T58" i="1" s="1"/>
  <c r="CC31" i="1"/>
  <c r="K33" i="1" l="1"/>
  <c r="U9" i="1"/>
  <c r="U58" i="1" s="1"/>
  <c r="T12" i="1"/>
  <c r="K34" i="1"/>
  <c r="K58" i="1" s="1"/>
  <c r="CC30" i="1"/>
  <c r="V9" i="1" l="1"/>
  <c r="V58" i="1" s="1"/>
  <c r="U12" i="1"/>
  <c r="W9" i="1" l="1"/>
  <c r="W58" i="1" s="1"/>
  <c r="V12" i="1"/>
  <c r="V8" i="1" s="1"/>
  <c r="V13" i="1"/>
  <c r="X9" i="1" l="1"/>
  <c r="X58" i="1" s="1"/>
  <c r="W12" i="1"/>
  <c r="Y9" i="1" l="1"/>
  <c r="Y58" i="1" s="1"/>
  <c r="X12" i="1"/>
  <c r="Z9" i="1" l="1"/>
  <c r="Z58" i="1" s="1"/>
  <c r="Y12" i="1"/>
  <c r="AA9" i="1" l="1"/>
  <c r="AA58" i="1" s="1"/>
  <c r="Z12" i="1"/>
  <c r="AB9" i="1" l="1"/>
  <c r="AB58" i="1" s="1"/>
  <c r="AA12" i="1"/>
  <c r="AA8" i="1" s="1"/>
  <c r="AA13" i="1"/>
  <c r="AC9" i="1" l="1"/>
  <c r="AC58" i="1" s="1"/>
  <c r="AB12" i="1"/>
  <c r="AD9" i="1" l="1"/>
  <c r="AD58" i="1" s="1"/>
  <c r="AC12" i="1"/>
  <c r="AE9" i="1" l="1"/>
  <c r="AE58" i="1" s="1"/>
  <c r="AD12" i="1"/>
  <c r="AF9" i="1" l="1"/>
  <c r="AF58" i="1" s="1"/>
  <c r="AE12" i="1"/>
  <c r="AG9" i="1" l="1"/>
  <c r="AG58" i="1" s="1"/>
  <c r="AF13" i="1"/>
  <c r="AF12" i="1"/>
  <c r="AF8" i="1" s="1"/>
  <c r="AH9" i="1" l="1"/>
  <c r="AH58" i="1" s="1"/>
  <c r="AG12" i="1"/>
  <c r="AI9" i="1" l="1"/>
  <c r="AI58" i="1" s="1"/>
  <c r="AH12" i="1"/>
  <c r="AJ9" i="1" l="1"/>
  <c r="AJ58" i="1" s="1"/>
  <c r="AI12" i="1"/>
  <c r="AK9" i="1" l="1"/>
  <c r="AK58" i="1" s="1"/>
  <c r="AJ12" i="1"/>
  <c r="AK13" i="1" l="1"/>
  <c r="AK12" i="1"/>
  <c r="AK8" i="1" s="1"/>
  <c r="AL9" i="1"/>
  <c r="AL58" i="1" s="1"/>
  <c r="AM9" i="1" l="1"/>
  <c r="AM58" i="1" s="1"/>
  <c r="AL12" i="1"/>
  <c r="AN9" i="1" l="1"/>
  <c r="AN58" i="1" s="1"/>
  <c r="AM12" i="1"/>
  <c r="AO9" i="1" l="1"/>
  <c r="AO58" i="1" s="1"/>
  <c r="AN12" i="1"/>
  <c r="AP9" i="1" l="1"/>
  <c r="AP58" i="1" s="1"/>
  <c r="AO12" i="1"/>
  <c r="AQ9" i="1" l="1"/>
  <c r="AQ58" i="1" s="1"/>
  <c r="AP13" i="1"/>
  <c r="AP12" i="1"/>
  <c r="AP8" i="1" s="1"/>
  <c r="AR9" i="1" l="1"/>
  <c r="AR58" i="1" s="1"/>
  <c r="AQ12" i="1"/>
  <c r="AS9" i="1" l="1"/>
  <c r="AS58" i="1" s="1"/>
  <c r="AR12" i="1"/>
  <c r="AT9" i="1" l="1"/>
  <c r="AS12" i="1"/>
  <c r="AU9" i="1" l="1"/>
  <c r="AU58" i="1" s="1"/>
  <c r="AT58" i="1"/>
  <c r="AT12" i="1"/>
  <c r="AV9" i="1" l="1"/>
  <c r="AV58" i="1" s="1"/>
  <c r="AU12" i="1"/>
  <c r="AU8" i="1" s="1"/>
  <c r="AU13" i="1"/>
  <c r="AW9" i="1" l="1"/>
  <c r="AW58" i="1" s="1"/>
  <c r="AV12" i="1"/>
  <c r="AX9" i="1" l="1"/>
  <c r="AX58" i="1" s="1"/>
  <c r="AW12" i="1"/>
  <c r="AY9" i="1" l="1"/>
  <c r="AY58" i="1" s="1"/>
  <c r="AX12" i="1"/>
  <c r="AZ9" i="1" l="1"/>
  <c r="AZ58" i="1" s="1"/>
  <c r="AY12" i="1"/>
  <c r="BA9" i="1" l="1"/>
  <c r="BA58" i="1" s="1"/>
  <c r="AZ12" i="1"/>
  <c r="AZ8" i="1" s="1"/>
  <c r="AZ13" i="1"/>
  <c r="BB9" i="1" l="1"/>
  <c r="BB58" i="1" s="1"/>
  <c r="BA12" i="1"/>
  <c r="BC9" i="1" l="1"/>
  <c r="BC58" i="1" s="1"/>
  <c r="BB12" i="1"/>
  <c r="BD9" i="1" l="1"/>
  <c r="BD58" i="1" s="1"/>
  <c r="BC12" i="1"/>
  <c r="BD12" i="1" l="1"/>
  <c r="BE9" i="1"/>
  <c r="BE58" i="1" s="1"/>
  <c r="BF9" i="1" l="1"/>
  <c r="BF58" i="1" s="1"/>
  <c r="BE12" i="1"/>
  <c r="BE8" i="1" s="1"/>
  <c r="BE13" i="1"/>
  <c r="BF12" i="1" l="1"/>
  <c r="BG9" i="1"/>
  <c r="BG58" i="1" s="1"/>
  <c r="BH9" i="1" l="1"/>
  <c r="BH58" i="1" s="1"/>
  <c r="BG12" i="1"/>
  <c r="BI9" i="1" l="1"/>
  <c r="BI58" i="1" s="1"/>
  <c r="BH12" i="1"/>
  <c r="BJ9" i="1" l="1"/>
  <c r="BJ58" i="1" s="1"/>
  <c r="BI12" i="1"/>
  <c r="BK9" i="1" l="1"/>
  <c r="BK58" i="1" s="1"/>
  <c r="BJ12" i="1"/>
  <c r="BJ8" i="1" s="1"/>
  <c r="BJ13" i="1"/>
  <c r="BL9" i="1" l="1"/>
  <c r="BL58" i="1" s="1"/>
  <c r="BK12" i="1"/>
  <c r="BL12" i="1" l="1"/>
  <c r="BM9" i="1"/>
  <c r="BM58" i="1" l="1"/>
  <c r="BZ10" i="1"/>
  <c r="BN9" i="1"/>
  <c r="BM12" i="1"/>
  <c r="BN58" i="1" l="1"/>
  <c r="CA10" i="1"/>
  <c r="BN12" i="1"/>
  <c r="BO9" i="1"/>
  <c r="BO58" i="1" l="1"/>
  <c r="CB10" i="1"/>
  <c r="BP9" i="1"/>
  <c r="BP58" i="1" s="1"/>
  <c r="BO13" i="1"/>
  <c r="BO12" i="1"/>
  <c r="BO8" i="1" s="1"/>
  <c r="BQ9" i="1" l="1"/>
  <c r="BQ58" i="1" s="1"/>
  <c r="BP12" i="1"/>
  <c r="BR9" i="1" l="1"/>
  <c r="BR58" i="1" s="1"/>
  <c r="BQ12" i="1"/>
  <c r="BR12" i="1" l="1"/>
  <c r="BS9" i="1"/>
  <c r="BS58" i="1" s="1"/>
  <c r="BS12" i="1" l="1"/>
  <c r="BT9" i="1"/>
  <c r="BT58" i="1" s="1"/>
  <c r="BT12" i="1" l="1"/>
  <c r="BT8" i="1" s="1"/>
  <c r="BU9" i="1"/>
  <c r="BU58" i="1" s="1"/>
  <c r="BT13" i="1"/>
  <c r="BV9" i="1" l="1"/>
  <c r="BV58" i="1" s="1"/>
  <c r="BU12" i="1"/>
  <c r="BV12" i="1" l="1"/>
  <c r="BW9" i="1"/>
  <c r="BW58" i="1" s="1"/>
  <c r="BW12" i="1" l="1"/>
  <c r="BX9" i="1"/>
  <c r="BX58" i="1" s="1"/>
  <c r="BX12" i="1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<sst xmlns="http://schemas.openxmlformats.org/spreadsheetml/2006/main" count="46" uniqueCount="44">
  <si>
    <t>Yann COJAN</t>
  </si>
  <si>
    <t>Progression</t>
  </si>
  <si>
    <t>Date debut</t>
  </si>
  <si>
    <t>Date de fin</t>
  </si>
  <si>
    <t>Date début</t>
  </si>
  <si>
    <t>Activité</t>
  </si>
  <si>
    <t>Prévu</t>
  </si>
  <si>
    <t>Réelle</t>
  </si>
  <si>
    <t>Durée</t>
  </si>
  <si>
    <t>Qui?</t>
  </si>
  <si>
    <t>nom</t>
  </si>
  <si>
    <t>ID</t>
  </si>
  <si>
    <t>Dep</t>
  </si>
  <si>
    <t>Abréviation</t>
  </si>
  <si>
    <t>Projet gantt</t>
  </si>
  <si>
    <t>Date de debut de projet :</t>
  </si>
  <si>
    <t xml:space="preserve">Services : </t>
  </si>
  <si>
    <t>Méthodes, R&amp;D, Qualité, Produciton</t>
  </si>
  <si>
    <t>Mettre en couleur un mot :</t>
  </si>
  <si>
    <t>Violet</t>
  </si>
  <si>
    <t>Rouge</t>
  </si>
  <si>
    <t>Vert</t>
  </si>
  <si>
    <t>Couleur</t>
  </si>
  <si>
    <t>mots</t>
  </si>
  <si>
    <t>Jaune</t>
  </si>
  <si>
    <t>mot cle à saisir:</t>
  </si>
  <si>
    <t>Mettre en rose un service :</t>
  </si>
  <si>
    <t>couleur</t>
  </si>
  <si>
    <t>H.CAMUS</t>
  </si>
  <si>
    <t>V.GREGOIRE</t>
  </si>
  <si>
    <t>ELEC</t>
  </si>
  <si>
    <t>MECA</t>
  </si>
  <si>
    <t>AUTO</t>
  </si>
  <si>
    <t>Gantt</t>
  </si>
  <si>
    <t>Periode : oct 2024 - jan 2025</t>
  </si>
  <si>
    <t>Gantts : Jumeau numérique</t>
  </si>
  <si>
    <t>Y.COJAN</t>
  </si>
  <si>
    <t>P.GIBORY</t>
  </si>
  <si>
    <t>H.LELAY</t>
  </si>
  <si>
    <t>Y.BAILBLED</t>
  </si>
  <si>
    <t>Essai 1</t>
  </si>
  <si>
    <t>Mécatronique</t>
  </si>
  <si>
    <t>Entreprise : Rammasse dechets</t>
  </si>
  <si>
    <t>Heure limit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</si>
</sst>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3">
    <numFmt numFmtId="164" formatCode="dd/mm/yy;@"/>
    <numFmt numFmtId="165" formatCode="[$-40C]d\-mmm\-yy;@"/>
    <numFmt numFmtId="169" formatCode="h:mm;@"/>
  </numFmts>
  <fonts count="22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1"/>
      <color theme="2" tint="-0.74999237037263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name val="Calibri"/>
      <family val="2"/>
      <scheme val="minor"/>
    </font>
    <font>
      <b/>
      <sz val="20"/>
      <color theme="0"/>
      <name val="Calibri"/>
      <family val="2"/>
      <scheme val="minor"/>
    </font>
    <font>
      <sz val="20"/>
      <color theme="1"/>
      <name val="Calibri"/>
      <family val="2"/>
      <scheme val="minor"/>
    </font>
    <font>
      <b/>
      <sz val="12"/>
      <name val="Calibri"/>
      <family val="2"/>
      <scheme val="minor"/>
    </font>
    <font>
      <sz val="11"/>
      <color theme="2"/>
      <name val="Calibri"/>
      <family val="2"/>
      <scheme val="minor"/>
    </font>
    <font>
      <sz val="11"/>
      <name val="Calibri"/>
      <family val="2"/>
      <scheme val="minor"/>
    </font>
    <font>
      <b/>
      <sz val="20"/>
      <color rgb="FF66FFFF"/>
      <name val="Calibri"/>
      <family val="2"/>
      <scheme val="minor"/>
    </font>
    <font>
      <b/>
      <sz val="11"/>
      <color rgb="FF66FFFF"/>
      <name val="Calibri"/>
      <family val="2"/>
      <scheme val="minor"/>
    </font>
    <font>
      <b/>
      <sz val="22"/>
      <color rgb="FF66FFFF"/>
      <name val="Calibri"/>
      <family val="2"/>
      <scheme val="minor"/>
    </font>
    <font>
      <b/>
      <sz val="20"/>
      <color theme="2"/>
      <name val="Calibri"/>
      <family val="2"/>
      <scheme val="minor"/>
    </font>
    <font>
      <b/>
      <sz val="12"/>
      <color theme="2"/>
      <name val="Calibri"/>
      <family val="2"/>
      <scheme val="minor"/>
    </font>
    <font>
      <b/>
      <sz val="11"/>
      <color theme="2"/>
      <name val="Calibri"/>
      <family val="2"/>
      <scheme val="minor"/>
    </font>
    <font>
      <b/>
      <sz val="11"/>
      <color rgb="FFFF2DF5"/>
      <name val="Calibri"/>
      <family val="2"/>
      <scheme val="minor"/>
    </font>
    <font>
      <b/>
      <sz val="10"/>
      <color theme="1"/>
      <name val="Calibri"/>
      <family val="2"/>
      <scheme val="minor"/>
    </font>
  </fonts>
  <fills count="12">
    <fill>
      <patternFill patternType="none"/>
    </fill>
    <fill>
      <patternFill patternType="gray125"/>
    </fill>
    <fill>
      <patternFill patternType="solid">
        <fgColor theme="6" tint="0.59999389629810485"/>
        <bgColor indexed="64"/>
      </patternFill>
    </fill>
    <fill>
      <patternFill patternType="solid">
        <fgColor theme="3" tint="-0.49998474074526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rgb="FFCCFFFF"/>
        <bgColor indexed="64"/>
      </patternFill>
    </fill>
    <fill>
      <patternFill patternType="solid">
        <fgColor rgb="FF3399FF"/>
        <bgColor indexed="64"/>
      </patternFill>
    </fill>
    <fill>
      <patternFill patternType="solid">
        <fgColor rgb="FF2BFF72"/>
        <bgColor indexed="64"/>
      </patternFill>
    </fill>
    <fill>
      <patternFill patternType="solid">
        <fgColor rgb="FFFFFF00"/>
        <bgColor indexed="64"/>
      </patternFill>
    </fill>
  </fills>
  <borders count="26">
    <border>
      <left/>
      <right/>
      <top/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/>
      <bottom/>
      <diagonal/>
    </border>
    <border>
      <left/>
      <right style="thin">
        <color theme="0" tint="-0.249977111117893"/>
      </right>
      <top/>
      <bottom/>
      <diagonal/>
    </border>
    <border>
      <left style="thin">
        <color theme="0" tint="-0.249977111117893"/>
      </left>
      <right style="thin">
        <color theme="0" tint="-0.249977111117893"/>
      </right>
      <top/>
      <bottom/>
      <diagonal/>
    </border>
    <border>
      <left style="thin">
        <color theme="0" tint="-0.249977111117893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/>
      <top/>
      <bottom style="thin">
        <color theme="1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theme="2" tint="-9.9978637043366805E-2"/>
      </right>
      <top/>
      <bottom/>
      <diagonal/>
    </border>
    <border>
      <left style="thin">
        <color theme="0" tint="-0.249977111117893"/>
      </left>
      <right/>
      <top/>
      <bottom/>
      <diagonal/>
    </border>
    <border>
      <left style="thin">
        <color indexed="64"/>
      </left>
      <right/>
      <top style="thin">
        <color theme="1"/>
      </top>
      <bottom style="thin">
        <color indexed="64"/>
      </bottom>
      <diagonal/>
    </border>
    <border>
      <left/>
      <right style="thin">
        <color indexed="64"/>
      </right>
      <top style="thin">
        <color theme="1"/>
      </top>
      <bottom style="thin">
        <color indexed="64"/>
      </bottom>
      <diagonal/>
    </border>
    <border>
      <left style="thin">
        <color indexed="64"/>
      </left>
      <right/>
      <top style="thin">
        <color theme="2" tint="-0.249977111117893"/>
      </top>
      <bottom/>
      <diagonal/>
    </border>
    <border>
      <left/>
      <right/>
      <top style="thin">
        <color theme="2" tint="-0.249977111117893"/>
      </top>
      <bottom/>
      <diagonal/>
    </border>
    <border>
      <left/>
      <right/>
      <top/>
      <bottom style="dotted">
        <color indexed="64"/>
      </bottom>
      <diagonal/>
    </border>
    <border>
      <left/>
      <right/>
      <top style="thin">
        <color indexed="64"/>
      </top>
      <bottom style="dotted">
        <color indexed="64"/>
      </bottom>
      <diagonal/>
    </border>
  </borders>
  <cellStyleXfs count="2">
    <xf numFmtId="0" fontId="0" fillId="0" borderId="0"/>
    <xf numFmtId="9" fontId="7" fillId="0" borderId="0" applyFont="0" applyFill="0" applyBorder="0" applyAlignment="0" applyProtection="0"/>
  </cellStyleXfs>
  <cellXfs count="98">
    <xf numFmtId="0" fontId="0" fillId="0" borderId="0" xfId="0"/>
    <xf numFmtId="0" fontId="0" fillId="0" borderId="0" xfId="0" applyAlignment="1">
      <alignment horizontal="center" vertical="center"/>
    </xf>
    <xf numFmtId="0" fontId="0" fillId="0" borderId="2" xfId="0" applyBorder="1" applyAlignment="1">
      <alignment horizontal="center" vertical="center"/>
    </xf>
    <xf numFmtId="14" fontId="2" fillId="0" borderId="0" xfId="0" applyNumberFormat="1" applyFont="1" applyAlignment="1">
      <alignment horizontal="center" vertical="center"/>
    </xf>
    <xf numFmtId="0" fontId="5" fillId="0" borderId="0" xfId="0" applyFont="1"/>
    <xf numFmtId="0" fontId="0" fillId="0" borderId="13" xfId="0" applyBorder="1" applyAlignment="1">
      <alignment horizontal="center" vertical="center"/>
    </xf>
    <xf numFmtId="0" fontId="2" fillId="0" borderId="5" xfId="0" applyFont="1" applyBorder="1" applyAlignment="1">
      <alignment horizontal="center" vertical="center"/>
    </xf>
    <xf numFmtId="0" fontId="2" fillId="0" borderId="12" xfId="0" applyFont="1" applyBorder="1" applyAlignment="1">
      <alignment horizontal="center"/>
    </xf>
    <xf numFmtId="0" fontId="6" fillId="0" borderId="2" xfId="0" applyFont="1" applyBorder="1" applyAlignment="1">
      <alignment horizontal="center" vertical="center"/>
    </xf>
    <xf numFmtId="0" fontId="0" fillId="0" borderId="5" xfId="0" applyBorder="1"/>
    <xf numFmtId="0" fontId="0" fillId="5" borderId="0" xfId="0" applyFill="1"/>
    <xf numFmtId="0" fontId="3" fillId="0" borderId="0" xfId="0" applyFont="1" applyAlignment="1">
      <alignment horizontal="center" vertical="center"/>
    </xf>
    <xf numFmtId="0" fontId="0" fillId="0" borderId="4" xfId="0" applyBorder="1"/>
    <xf numFmtId="0" fontId="0" fillId="0" borderId="12" xfId="0" applyBorder="1"/>
    <xf numFmtId="0" fontId="9" fillId="5" borderId="0" xfId="0" applyFont="1" applyFill="1" applyAlignment="1">
      <alignment vertical="center"/>
    </xf>
    <xf numFmtId="0" fontId="10" fillId="5" borderId="0" xfId="0" applyFont="1" applyFill="1"/>
    <xf numFmtId="0" fontId="0" fillId="0" borderId="7" xfId="0" applyBorder="1" applyAlignment="1">
      <alignment horizontal="left" vertical="center"/>
    </xf>
    <xf numFmtId="9" fontId="0" fillId="0" borderId="8" xfId="0" applyNumberFormat="1" applyBorder="1" applyAlignment="1">
      <alignment horizontal="left" vertical="center"/>
    </xf>
    <xf numFmtId="165" fontId="0" fillId="0" borderId="9" xfId="0" applyNumberFormat="1" applyBorder="1" applyAlignment="1">
      <alignment horizontal="left" vertical="center"/>
    </xf>
    <xf numFmtId="0" fontId="2" fillId="7" borderId="5" xfId="0" applyFont="1" applyFill="1" applyBorder="1" applyAlignment="1">
      <alignment horizontal="center" vertical="center"/>
    </xf>
    <xf numFmtId="0" fontId="2" fillId="7" borderId="3" xfId="0" applyFont="1" applyFill="1" applyBorder="1" applyAlignment="1">
      <alignment horizontal="center" vertical="center"/>
    </xf>
    <xf numFmtId="165" fontId="0" fillId="7" borderId="9" xfId="0" applyNumberFormat="1" applyFill="1" applyBorder="1" applyAlignment="1">
      <alignment horizontal="left" vertical="center"/>
    </xf>
    <xf numFmtId="0" fontId="0" fillId="7" borderId="11" xfId="0" applyFill="1" applyBorder="1" applyAlignment="1">
      <alignment horizontal="center" vertical="center"/>
    </xf>
    <xf numFmtId="0" fontId="2" fillId="7" borderId="11" xfId="0" applyFont="1" applyFill="1" applyBorder="1" applyAlignment="1">
      <alignment horizontal="center" vertical="center"/>
    </xf>
    <xf numFmtId="0" fontId="0" fillId="7" borderId="11" xfId="0" applyFill="1" applyBorder="1"/>
    <xf numFmtId="0" fontId="0" fillId="7" borderId="15" xfId="0" applyFill="1" applyBorder="1" applyAlignment="1">
      <alignment horizontal="center" vertical="center"/>
    </xf>
    <xf numFmtId="0" fontId="8" fillId="7" borderId="5" xfId="0" applyFont="1" applyFill="1" applyBorder="1" applyAlignment="1">
      <alignment horizontal="center" vertical="center"/>
    </xf>
    <xf numFmtId="165" fontId="0" fillId="7" borderId="19" xfId="0" applyNumberFormat="1" applyFill="1" applyBorder="1" applyAlignment="1">
      <alignment horizontal="left" vertical="center"/>
    </xf>
    <xf numFmtId="0" fontId="12" fillId="7" borderId="8" xfId="0" applyFont="1" applyFill="1" applyBorder="1" applyAlignment="1">
      <alignment horizontal="left" vertical="center"/>
    </xf>
    <xf numFmtId="0" fontId="11" fillId="0" borderId="0" xfId="0" applyFont="1" applyAlignment="1">
      <alignment horizontal="center" vertical="center"/>
    </xf>
    <xf numFmtId="0" fontId="8" fillId="0" borderId="12" xfId="0" applyFont="1" applyBorder="1" applyAlignment="1">
      <alignment horizontal="center"/>
    </xf>
    <xf numFmtId="0" fontId="13" fillId="0" borderId="0" xfId="0" applyFont="1"/>
    <xf numFmtId="0" fontId="8" fillId="9" borderId="5" xfId="0" applyFont="1" applyFill="1" applyBorder="1" applyAlignment="1">
      <alignment horizontal="center" vertical="center"/>
    </xf>
    <xf numFmtId="0" fontId="8" fillId="9" borderId="3" xfId="0" applyFont="1" applyFill="1" applyBorder="1" applyAlignment="1">
      <alignment horizontal="center" vertical="center"/>
    </xf>
    <xf numFmtId="0" fontId="8" fillId="9" borderId="14" xfId="0" applyFont="1" applyFill="1" applyBorder="1" applyAlignment="1">
      <alignment horizontal="center" vertical="center"/>
    </xf>
    <xf numFmtId="0" fontId="2" fillId="8" borderId="5" xfId="0" applyFont="1" applyFill="1" applyBorder="1" applyAlignment="1">
      <alignment horizontal="center" vertical="center"/>
    </xf>
    <xf numFmtId="0" fontId="0" fillId="8" borderId="10" xfId="0" applyFill="1" applyBorder="1" applyAlignment="1">
      <alignment horizontal="center" vertical="center"/>
    </xf>
    <xf numFmtId="0" fontId="15" fillId="5" borderId="5" xfId="0" applyFont="1" applyFill="1" applyBorder="1" applyAlignment="1">
      <alignment horizontal="center" vertical="center"/>
    </xf>
    <xf numFmtId="0" fontId="15" fillId="3" borderId="0" xfId="0" applyFont="1" applyFill="1" applyAlignment="1">
      <alignment horizontal="center" vertical="center"/>
    </xf>
    <xf numFmtId="14" fontId="1" fillId="0" borderId="12" xfId="0" applyNumberFormat="1" applyFont="1" applyBorder="1" applyAlignment="1">
      <alignment horizontal="center" vertical="center"/>
    </xf>
    <xf numFmtId="0" fontId="1" fillId="0" borderId="18" xfId="0" applyFont="1" applyBorder="1" applyAlignment="1">
      <alignment horizontal="center" vertical="center"/>
    </xf>
    <xf numFmtId="0" fontId="0" fillId="5" borderId="16" xfId="0" applyFill="1" applyBorder="1"/>
    <xf numFmtId="0" fontId="2" fillId="0" borderId="0" xfId="0" applyFont="1"/>
    <xf numFmtId="0" fontId="6" fillId="0" borderId="0" xfId="0" applyFont="1"/>
    <xf numFmtId="0" fontId="1" fillId="5" borderId="0" xfId="0" applyFont="1" applyFill="1" applyAlignment="1">
      <alignment horizontal="center" vertical="center"/>
    </xf>
    <xf numFmtId="0" fontId="2" fillId="0" borderId="0" xfId="0" applyFont="1" applyAlignment="1">
      <alignment vertical="center"/>
    </xf>
    <xf numFmtId="0" fontId="17" fillId="5" borderId="0" xfId="0" applyFont="1" applyFill="1" applyAlignment="1">
      <alignment horizontal="center" vertical="center"/>
    </xf>
    <xf numFmtId="0" fontId="12" fillId="0" borderId="0" xfId="0" applyFont="1"/>
    <xf numFmtId="0" fontId="18" fillId="0" borderId="0" xfId="0" applyFont="1" applyAlignment="1">
      <alignment horizontal="center" vertical="center"/>
    </xf>
    <xf numFmtId="0" fontId="19" fillId="0" borderId="12" xfId="0" applyFont="1" applyBorder="1" applyAlignment="1">
      <alignment horizontal="center"/>
    </xf>
    <xf numFmtId="0" fontId="19" fillId="0" borderId="3" xfId="0" applyFont="1" applyBorder="1"/>
    <xf numFmtId="0" fontId="19" fillId="7" borderId="5" xfId="0" applyFont="1" applyFill="1" applyBorder="1" applyAlignment="1">
      <alignment horizontal="center" vertical="center"/>
    </xf>
    <xf numFmtId="14" fontId="2" fillId="0" borderId="24" xfId="0" applyNumberFormat="1" applyFont="1" applyBorder="1" applyAlignment="1">
      <alignment horizontal="center" vertical="center"/>
    </xf>
    <xf numFmtId="0" fontId="0" fillId="7" borderId="14" xfId="0" applyFill="1" applyBorder="1"/>
    <xf numFmtId="0" fontId="13" fillId="7" borderId="14" xfId="0" applyFont="1" applyFill="1" applyBorder="1"/>
    <xf numFmtId="0" fontId="12" fillId="7" borderId="14" xfId="0" applyFont="1" applyFill="1" applyBorder="1"/>
    <xf numFmtId="0" fontId="2" fillId="7" borderId="14" xfId="0" applyFont="1" applyFill="1" applyBorder="1" applyAlignment="1">
      <alignment horizontal="center" vertical="center"/>
    </xf>
    <xf numFmtId="0" fontId="21" fillId="7" borderId="14" xfId="0" applyFont="1" applyFill="1" applyBorder="1" applyAlignment="1">
      <alignment horizontal="left" vertical="top"/>
    </xf>
    <xf numFmtId="0" fontId="21" fillId="7" borderId="3" xfId="0" applyFont="1" applyFill="1" applyBorder="1" applyAlignment="1">
      <alignment horizontal="left" vertical="top"/>
    </xf>
    <xf numFmtId="0" fontId="12" fillId="7" borderId="8" xfId="0" applyFont="1" applyFill="1" applyBorder="1" applyAlignment="1">
      <alignment horizontal="left" vertical="center" textRotation="255"/>
    </xf>
    <xf numFmtId="0" fontId="6" fillId="6" borderId="5" xfId="0" applyFont="1" applyFill="1" applyBorder="1"/>
    <xf numFmtId="0" fontId="0" fillId="4" borderId="5" xfId="0" applyFill="1" applyBorder="1"/>
    <xf numFmtId="0" fontId="0" fillId="10" borderId="5" xfId="0" applyFill="1" applyBorder="1"/>
    <xf numFmtId="0" fontId="0" fillId="11" borderId="5" xfId="0" applyFill="1" applyBorder="1"/>
    <xf numFmtId="165" fontId="0" fillId="0" borderId="0" xfId="0" applyNumberFormat="1"/>
    <xf numFmtId="14" fontId="0" fillId="0" borderId="0" xfId="0" applyNumberFormat="1"/>
    <xf numFmtId="0" fontId="2" fillId="0" borderId="12" xfId="0" applyFont="1" applyBorder="1" applyAlignment="1">
      <alignment horizontal="center"/>
    </xf>
    <xf numFmtId="0" fontId="2" fillId="0" borderId="0" xfId="0" applyFont="1" applyAlignment="1">
      <alignment horizontal="center" vertical="center"/>
    </xf>
    <xf numFmtId="0" fontId="20" fillId="0" borderId="24" xfId="0" applyFont="1" applyBorder="1" applyAlignment="1">
      <alignment horizontal="center"/>
    </xf>
    <xf numFmtId="0" fontId="0" fillId="0" borderId="5" xfId="0" applyBorder="1" applyAlignment="1">
      <alignment horizontal="center"/>
    </xf>
    <xf numFmtId="0" fontId="8" fillId="9" borderId="22" xfId="0" applyFont="1" applyFill="1" applyBorder="1" applyAlignment="1">
      <alignment horizontal="center"/>
    </xf>
    <xf numFmtId="0" fontId="8" fillId="9" borderId="23" xfId="0" applyFont="1" applyFill="1" applyBorder="1" applyAlignment="1">
      <alignment horizontal="center"/>
    </xf>
    <xf numFmtId="0" fontId="14" fillId="5" borderId="0" xfId="0" applyFont="1" applyFill="1" applyAlignment="1">
      <alignment horizontal="center" vertical="center"/>
    </xf>
    <xf numFmtId="164" fontId="4" fillId="2" borderId="1" xfId="0" applyNumberFormat="1" applyFont="1" applyFill="1" applyBorder="1" applyAlignment="1">
      <alignment horizontal="center" textRotation="90"/>
    </xf>
    <xf numFmtId="164" fontId="4" fillId="2" borderId="0" xfId="0" applyNumberFormat="1" applyFont="1" applyFill="1" applyAlignment="1">
      <alignment horizontal="center" textRotation="90"/>
    </xf>
    <xf numFmtId="164" fontId="4" fillId="2" borderId="5" xfId="0" applyNumberFormat="1" applyFont="1" applyFill="1" applyBorder="1" applyAlignment="1">
      <alignment horizontal="center" textRotation="90"/>
    </xf>
    <xf numFmtId="0" fontId="2" fillId="0" borderId="17" xfId="0" applyFont="1" applyBorder="1" applyAlignment="1">
      <alignment horizontal="center"/>
    </xf>
    <xf numFmtId="0" fontId="0" fillId="0" borderId="15" xfId="0" applyBorder="1" applyAlignment="1">
      <alignment horizontal="center"/>
    </xf>
    <xf numFmtId="0" fontId="2" fillId="0" borderId="5" xfId="0" applyFont="1" applyBorder="1" applyAlignment="1">
      <alignment horizontal="center"/>
    </xf>
    <xf numFmtId="0" fontId="15" fillId="5" borderId="0" xfId="0" applyFont="1" applyFill="1" applyAlignment="1">
      <alignment horizontal="left" vertical="center"/>
    </xf>
    <xf numFmtId="0" fontId="3" fillId="0" borderId="17" xfId="0" applyFont="1" applyBorder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0" fontId="3" fillId="0" borderId="6" xfId="0" applyFont="1" applyBorder="1" applyAlignment="1">
      <alignment horizontal="center" vertical="center"/>
    </xf>
    <xf numFmtId="0" fontId="3" fillId="0" borderId="14" xfId="0" applyFont="1" applyBorder="1" applyAlignment="1">
      <alignment horizontal="center" vertical="center"/>
    </xf>
    <xf numFmtId="0" fontId="2" fillId="0" borderId="25" xfId="0" applyFont="1" applyBorder="1" applyAlignment="1">
      <alignment horizontal="center" vertical="center"/>
    </xf>
    <xf numFmtId="0" fontId="0" fillId="0" borderId="0" xfId="0" applyAlignment="1">
      <alignment horizontal="center"/>
    </xf>
    <xf numFmtId="0" fontId="9" fillId="5" borderId="0" xfId="0" applyFont="1" applyFill="1" applyAlignment="1">
      <alignment horizontal="center" vertical="center"/>
    </xf>
    <xf numFmtId="0" fontId="8" fillId="9" borderId="6" xfId="0" applyFont="1" applyFill="1" applyBorder="1" applyAlignment="1">
      <alignment horizontal="center" vertical="center"/>
    </xf>
    <xf numFmtId="0" fontId="8" fillId="9" borderId="3" xfId="0" applyFont="1" applyFill="1" applyBorder="1" applyAlignment="1">
      <alignment horizontal="center" vertical="center"/>
    </xf>
    <xf numFmtId="0" fontId="8" fillId="9" borderId="20" xfId="0" applyFont="1" applyFill="1" applyBorder="1" applyAlignment="1">
      <alignment horizontal="center" vertical="center"/>
    </xf>
    <xf numFmtId="0" fontId="8" fillId="9" borderId="21" xfId="0" applyFont="1" applyFill="1" applyBorder="1" applyAlignment="1">
      <alignment horizontal="center" vertical="center"/>
    </xf>
    <xf numFmtId="0" fontId="0" fillId="0" borderId="6" xfId="0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3" xfId="0" applyBorder="1" applyAlignment="1">
      <alignment horizontal="center"/>
    </xf>
    <xf numFmtId="0" fontId="16" fillId="5" borderId="0" xfId="0" applyFont="1" applyFill="1" applyAlignment="1">
      <alignment horizontal="center" vertical="center"/>
    </xf>
    <xf numFmtId="14" fontId="1" fillId="0" borderId="0" xfId="0" applyNumberFormat="1" applyFont="1" applyBorder="1" applyAlignment="1">
      <alignment horizontal="center" vertical="center"/>
    </xf>
    <xf numFmtId="0" fontId="8" fillId="9" borderId="14" xfId="0" applyFont="1" applyFill="1" applyBorder="1" applyAlignment="1">
      <alignment horizontal="center" vertical="center"/>
    </xf>
    <xf numFmtId="169" fontId="0" fillId="0" borderId="9" xfId="0" applyNumberFormat="1" applyBorder="1" applyAlignment="1">
      <alignment horizontal="left" vertical="center"/>
    </xf>
  </cellXfs>
  <cellStyles count="2">
    <cellStyle name="Normal" xfId="0" builtinId="0"/>
    <cellStyle name="Pourcentage 2" xfId="1" xr:uid="{96266D42-8FFF-4CEA-9719-B14265AF08B4}"/>
  </cellStyles>
  <dxfs count="68">
    <dxf>
      <fill>
        <patternFill>
          <bgColor rgb="FFC00000"/>
        </patternFill>
      </fill>
    </dxf>
    <dxf>
      <border>
        <left style="dashDot">
          <color theme="5" tint="-0.24994659260841701"/>
        </left>
        <right style="thin">
          <color theme="1"/>
        </right>
        <bottom style="thin">
          <color theme="2" tint="-9.9948118533890809E-2"/>
        </bottom>
        <vertical/>
        <horizontal/>
      </border>
    </dxf>
    <dxf>
      <fill>
        <patternFill patternType="none">
          <bgColor auto="1"/>
        </patternFill>
      </fill>
      <border>
        <left style="dashDotDot">
          <color theme="5" tint="-0.24994659260841701"/>
        </left>
        <right/>
      </border>
    </dxf>
    <dxf>
      <border>
        <left style="dashDotDot">
          <color theme="5" tint="-0.24994659260841701"/>
        </left>
        <right style="thin">
          <color theme="1"/>
        </right>
        <bottom style="thin">
          <color theme="2" tint="-9.9948118533890809E-2"/>
        </bottom>
        <vertical/>
        <horizontal/>
      </border>
    </dxf>
    <dxf>
      <fill>
        <patternFill>
          <bgColor rgb="FF002060"/>
        </patternFill>
      </fill>
      <border>
        <left/>
        <right/>
        <top/>
        <bottom/>
      </border>
    </dxf>
    <dxf>
      <fill>
        <patternFill>
          <bgColor rgb="FF66FF66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  <border>
        <left/>
        <right/>
        <top/>
        <bottom/>
      </border>
    </dxf>
    <dxf>
      <fill>
        <patternFill>
          <bgColor rgb="FFFEFE00"/>
        </patternFill>
      </fill>
    </dxf>
    <dxf>
      <fill>
        <patternFill patternType="lightUp">
          <fgColor rgb="FF3399FF"/>
        </patternFill>
      </fill>
    </dxf>
    <dxf>
      <fill>
        <patternFill>
          <bgColor rgb="FFFF4BE5"/>
        </patternFill>
      </fill>
    </dxf>
    <dxf>
      <border>
        <left/>
        <right style="thin">
          <color auto="1"/>
        </right>
        <top/>
        <bottom style="thin">
          <color theme="0" tint="-0.34998626667073579"/>
        </bottom>
        <vertical/>
        <horizontal/>
      </border>
    </dxf>
    <dxf>
      <fill>
        <patternFill>
          <bgColor rgb="FF00FFFF"/>
        </patternFill>
      </fill>
    </dxf>
    <dxf>
      <font>
        <color rgb="FF66FFFF"/>
      </font>
      <fill>
        <patternFill>
          <bgColor rgb="FF002060"/>
        </patternFill>
      </fill>
    </dxf>
    <dxf>
      <fill>
        <patternFill>
          <bgColor rgb="FFCCECFF"/>
        </patternFill>
      </fill>
    </dxf>
    <dxf>
      <fill>
        <patternFill>
          <bgColor rgb="FFCCFFFF"/>
        </patternFill>
      </fill>
    </dxf>
    <dxf>
      <fill>
        <patternFill>
          <bgColor rgb="FF66FFFF"/>
        </patternFill>
      </fill>
    </dxf>
    <dxf>
      <fill>
        <patternFill>
          <bgColor rgb="FF99CCFF"/>
        </patternFill>
      </fill>
    </dxf>
    <dxf>
      <fill>
        <patternFill>
          <bgColor rgb="FF3399FF"/>
        </patternFill>
      </fill>
    </dxf>
    <dxf>
      <fill>
        <patternFill>
          <bgColor rgb="FF66CCFF"/>
        </patternFill>
      </fill>
    </dxf>
    <dxf>
      <fill>
        <patternFill>
          <bgColor rgb="FF0066FF"/>
        </patternFill>
      </fill>
    </dxf>
    <dxf>
      <font>
        <color theme="0"/>
      </font>
      <fill>
        <patternFill>
          <bgColor rgb="FF0033CC"/>
        </patternFill>
      </fill>
    </dxf>
    <dxf>
      <font>
        <color theme="0"/>
      </font>
      <fill>
        <patternFill>
          <bgColor rgb="FF3366CC"/>
        </patternFill>
      </fill>
    </dxf>
    <dxf>
      <font>
        <color theme="0"/>
      </font>
      <fill>
        <patternFill>
          <bgColor rgb="FF003399"/>
        </patternFill>
      </fill>
    </dxf>
    <dxf>
      <font>
        <color theme="0"/>
      </font>
      <fill>
        <patternFill>
          <bgColor rgb="FF000099"/>
        </patternFill>
      </fill>
    </dxf>
    <dxf>
      <fill>
        <patternFill>
          <bgColor rgb="FFFF2DF5"/>
        </patternFill>
      </fill>
    </dxf>
    <dxf>
      <border>
        <bottom style="thin">
          <color theme="0" tint="-0.24994659260841701"/>
        </bottom>
        <vertical/>
        <horizontal/>
      </border>
    </dxf>
    <dxf>
      <fill>
        <patternFill>
          <bgColor rgb="FF002060"/>
        </patternFill>
      </fill>
    </dxf>
    <dxf>
      <fill>
        <patternFill>
          <bgColor rgb="FF7030A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ont>
        <color theme="1"/>
      </font>
      <fill>
        <patternFill>
          <bgColor rgb="FFFFFF00"/>
        </patternFill>
      </fill>
    </dxf>
    <dxf>
      <fill>
        <patternFill>
          <bgColor rgb="FFFF0DF3"/>
        </patternFill>
      </fill>
    </dxf>
    <dxf>
      <fill>
        <patternFill>
          <bgColor rgb="FFC00000"/>
        </patternFill>
      </fill>
    </dxf>
    <dxf>
      <border>
        <left style="dashDot">
          <color theme="5" tint="-0.24994659260841701"/>
        </left>
        <right style="thin">
          <color theme="1"/>
        </right>
        <bottom style="thin">
          <color theme="2" tint="-9.9948118533890809E-2"/>
        </bottom>
        <vertical/>
        <horizontal/>
      </border>
    </dxf>
    <dxf>
      <fill>
        <patternFill patternType="none">
          <bgColor auto="1"/>
        </patternFill>
      </fill>
      <border>
        <left style="dashDotDot">
          <color theme="5" tint="-0.24994659260841701"/>
        </left>
        <right/>
      </border>
    </dxf>
    <dxf>
      <border>
        <left style="dashDotDot">
          <color theme="5" tint="-0.24994659260841701"/>
        </left>
        <right style="thin">
          <color theme="1"/>
        </right>
        <bottom style="thin">
          <color theme="2" tint="-9.9948118533890809E-2"/>
        </bottom>
        <vertical/>
        <horizontal/>
      </border>
    </dxf>
    <dxf>
      <fill>
        <patternFill>
          <bgColor rgb="FF002060"/>
        </patternFill>
      </fill>
      <border>
        <left/>
        <right/>
        <top/>
        <bottom/>
      </border>
    </dxf>
    <dxf>
      <fill>
        <patternFill>
          <bgColor rgb="FF66FF66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  <border>
        <left/>
        <right/>
        <top/>
        <bottom/>
      </border>
    </dxf>
    <dxf>
      <fill>
        <patternFill>
          <bgColor rgb="FFFEFE00"/>
        </patternFill>
      </fill>
    </dxf>
    <dxf>
      <fill>
        <patternFill patternType="lightUp">
          <fgColor rgb="FF3399FF"/>
        </patternFill>
      </fill>
    </dxf>
    <dxf>
      <fill>
        <patternFill>
          <bgColor rgb="FFFF4BE5"/>
        </patternFill>
      </fill>
    </dxf>
    <dxf>
      <border>
        <left/>
        <right style="thin">
          <color auto="1"/>
        </right>
        <top/>
        <bottom style="thin">
          <color theme="0" tint="-0.34998626667073579"/>
        </bottom>
        <vertical/>
        <horizontal/>
      </border>
    </dxf>
    <dxf>
      <fill>
        <patternFill>
          <bgColor rgb="FF00FFFF"/>
        </patternFill>
      </fill>
    </dxf>
    <dxf>
      <font>
        <color rgb="FF66FFFF"/>
      </font>
      <fill>
        <patternFill>
          <bgColor rgb="FF002060"/>
        </patternFill>
      </fill>
    </dxf>
    <dxf>
      <fill>
        <patternFill>
          <bgColor rgb="FFCCECFF"/>
        </patternFill>
      </fill>
    </dxf>
    <dxf>
      <fill>
        <patternFill>
          <bgColor rgb="FFCCFFFF"/>
        </patternFill>
      </fill>
    </dxf>
    <dxf>
      <fill>
        <patternFill>
          <bgColor rgb="FF66FFFF"/>
        </patternFill>
      </fill>
    </dxf>
    <dxf>
      <fill>
        <patternFill>
          <bgColor rgb="FF99CCFF"/>
        </patternFill>
      </fill>
    </dxf>
    <dxf>
      <fill>
        <patternFill>
          <bgColor rgb="FF3399FF"/>
        </patternFill>
      </fill>
    </dxf>
    <dxf>
      <fill>
        <patternFill>
          <bgColor rgb="FF66CCFF"/>
        </patternFill>
      </fill>
    </dxf>
    <dxf>
      <fill>
        <patternFill>
          <bgColor rgb="FF0066FF"/>
        </patternFill>
      </fill>
    </dxf>
    <dxf>
      <font>
        <color theme="0"/>
      </font>
      <fill>
        <patternFill>
          <bgColor rgb="FF0033CC"/>
        </patternFill>
      </fill>
    </dxf>
    <dxf>
      <font>
        <color theme="0"/>
      </font>
      <fill>
        <patternFill>
          <bgColor rgb="FF3366CC"/>
        </patternFill>
      </fill>
    </dxf>
    <dxf>
      <font>
        <color theme="0"/>
      </font>
      <fill>
        <patternFill>
          <bgColor rgb="FF003399"/>
        </patternFill>
      </fill>
    </dxf>
    <dxf>
      <font>
        <color theme="0"/>
      </font>
      <fill>
        <patternFill>
          <bgColor rgb="FF000099"/>
        </patternFill>
      </fill>
    </dxf>
    <dxf>
      <fill>
        <patternFill>
          <bgColor rgb="FFFF2DF5"/>
        </patternFill>
      </fill>
    </dxf>
    <dxf>
      <border>
        <bottom style="thin">
          <color theme="0" tint="-0.24994659260841701"/>
        </bottom>
        <vertical/>
        <horizontal/>
      </border>
    </dxf>
    <dxf>
      <fill>
        <patternFill>
          <bgColor rgb="FF002060"/>
        </patternFill>
      </fill>
    </dxf>
    <dxf>
      <fill>
        <patternFill>
          <bgColor rgb="FF7030A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ont>
        <color theme="1"/>
      </font>
      <fill>
        <patternFill>
          <bgColor rgb="FFFFFF00"/>
        </patternFill>
      </fill>
    </dxf>
    <dxf>
      <fill>
        <patternFill>
          <bgColor rgb="FFFF0DF3"/>
        </patternFill>
      </fill>
    </dxf>
    <dxf>
      <font>
        <color theme="0"/>
      </font>
      <fill>
        <patternFill>
          <bgColor theme="1"/>
        </patternFill>
      </fill>
    </dxf>
    <dxf>
      <fill>
        <patternFill>
          <bgColor theme="1"/>
        </patternFill>
      </fill>
    </dxf>
  </dxfs>
  <tableStyles count="1" defaultTableStyle="TableStyleMedium2" defaultPivotStyle="PivotStyleLight16">
    <tableStyle name="noir" pivot="0" table="0" count="10" xr9:uid="{710341F4-1A87-4A18-9F0A-943AE3E24E74}">
      <tableStyleElement type="wholeTable" dxfId="67"/>
      <tableStyleElement type="headerRow" dxfId="66"/>
    </tableStyle>
  </tableStyles>
  <colors>
    <mruColors>
      <color rgb="FF00FFFF"/>
      <color rgb="FF00FFCC"/>
      <color rgb="FF009E8B"/>
      <color rgb="FF00E6CB"/>
      <color rgb="FF00EABD"/>
      <color rgb="FF00F6C7"/>
      <color rgb="FF000099"/>
      <color rgb="FF003399"/>
      <color rgb="FF3366CC"/>
      <color rgb="FF0033CC"/>
    </mruColors>
  </colors>
  <extLst>
    <ext xmlns:x14="http://schemas.microsoft.com/office/spreadsheetml/2009/9/main" uri="{46F421CA-312F-682f-3DD2-61675219B42D}">
      <x14:dxfs count="8">
        <dxf>
          <font>
            <color theme="0"/>
          </font>
          <fill>
            <patternFill>
              <fgColor theme="0" tint="-0.499984740745262"/>
              <bgColor theme="0" tint="-0.499984740745262"/>
            </patternFill>
          </fill>
        </dxf>
        <dxf>
          <font>
            <color theme="0"/>
          </font>
          <fill>
            <patternFill>
              <fgColor theme="4" tint="0.39994506668294322"/>
              <bgColor theme="4" tint="0.39994506668294322"/>
            </patternFill>
          </fill>
        </dxf>
        <dxf>
          <font>
            <color theme="0"/>
          </font>
          <fill>
            <patternFill>
              <bgColor theme="0" tint="-0.499984740745262"/>
            </patternFill>
          </fill>
        </dxf>
        <dxf>
          <font>
            <color theme="0"/>
          </font>
          <fill>
            <patternFill>
              <fgColor theme="4" tint="0.39994506668294322"/>
              <bgColor theme="4" tint="0.39994506668294322"/>
            </patternFill>
          </fill>
        </dxf>
        <dxf>
          <font>
            <color theme="0"/>
          </font>
          <fill>
            <patternFill>
              <fgColor rgb="FF3017ED"/>
            </patternFill>
          </fill>
        </dxf>
        <dxf>
          <font>
            <color theme="0"/>
          </font>
          <fill>
            <patternFill patternType="solid">
              <fgColor indexed="64"/>
              <bgColor rgb="FF0000FF"/>
            </patternFill>
          </fill>
        </dxf>
        <dxf>
          <font>
            <color theme="0"/>
          </font>
          <fill>
            <patternFill>
              <fgColor theme="0" tint="-0.499984740745262"/>
            </patternFill>
          </fill>
        </dxf>
        <dxf>
          <font>
            <color theme="0"/>
          </font>
          <fill>
            <patternFill>
              <fgColor rgb="FF3017ED"/>
              <bgColor theme="4" tint="0.39994506668294322"/>
            </patternFill>
          </fill>
        </dxf>
      </x14:dxfs>
    </ext>
    <ext xmlns:x14="http://schemas.microsoft.com/office/spreadsheetml/2009/9/main" uri="{EB79DEF2-80B8-43e5-95BD-54CBDDF9020C}">
      <x14:slicerStyles defaultSlicerStyle="SlicerStyleLight1">
        <x14:slicerStyle name="noir">
          <x14:slicerStyleElements>
            <x14:slicerStyleElement type="unselectedItemWithData" dxfId="7"/>
            <x14:slicerStyleElement type="unselectedItemWithNoData" dxfId="6"/>
            <x14:slicerStyleElement type="selectedItemWithData" dxfId="5"/>
            <x14:slicerStyleElement type="selectedItemWithNoData" dxfId="4"/>
            <x14:slicerStyleElement type="hoveredUnselectedItemWithData" dxfId="3"/>
            <x14:slicerStyleElement type="hoveredSelectedItemWithData" dxfId="2"/>
            <x14:slicerStyleElement type="hoveredUnselectedItemWithNoData" dxfId="1"/>
            <x14:slicerStyleElement type="hoveredSelectedItemWithNoData" dxfId="0"/>
          </x14:slicerStyleElements>
        </x14:slicerStyle>
      </x14:slicerStyles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externalLink" Target="externalLinks/externalLink1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externalLink" Target="externalLinks/externalLink2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Scroll" dx="22" fmlaLink="$O$11" horiz="1" inc="5" max="300" page="10" val="0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72</xdr:col>
          <xdr:colOff>66675</xdr:colOff>
          <xdr:row>5</xdr:row>
          <xdr:rowOff>0</xdr:rowOff>
        </xdr:from>
        <xdr:to>
          <xdr:col>75</xdr:col>
          <xdr:colOff>47625</xdr:colOff>
          <xdr:row>5</xdr:row>
          <xdr:rowOff>266700</xdr:rowOff>
        </xdr:to>
        <xdr:sp macro="" textlink="">
          <xdr:nvSpPr>
            <xdr:cNvPr id="1025" name="Scroll Bar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A:\Documents%20and%20Settings\Richard\Mes%20documents\Mes%20documents\InterAliment\Charcuteries%20Gourmandes\Mes%20documents\EXCEL%207\Budget%202001\abud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G:\La%20Trinitaine\Rendement%20surpoids%202017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abud"/>
      <sheetName val="Liste déroulantes"/>
    </sheetNames>
    <sheetDataSet>
      <sheetData sheetId="0">
        <row r="1">
          <cell r="A1" t="str">
            <v>010796</v>
          </cell>
        </row>
      </sheetData>
      <sheetData sheetId="1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TABLE ARTICLE"/>
      <sheetName val="PR RECETTE"/>
      <sheetName val="BaseFamille"/>
      <sheetName val="FAB2016"/>
      <sheetName val="SURPOIDS"/>
      <sheetName val="TCD Hebdo"/>
      <sheetName val="TCD Mensuel"/>
      <sheetName val="TCD Global"/>
      <sheetName val="VALO GAIN-PERTE"/>
      <sheetName val="RECAP FAMILLE"/>
      <sheetName val="Suivi longuette GC"/>
      <sheetName val="Suivi QQ GC"/>
      <sheetName val="Suivi QQ GC  mois"/>
      <sheetName val="Suivi Bq GC"/>
      <sheetName val="Suivi Mini"/>
      <sheetName val="Feuil2"/>
    </sheetNames>
    <sheetDataSet>
      <sheetData sheetId="0" refreshError="1"/>
      <sheetData sheetId="1" refreshError="1"/>
      <sheetData sheetId="2">
        <row r="2">
          <cell r="B2" t="str">
            <v>250G</v>
          </cell>
        </row>
        <row r="3">
          <cell r="B3" t="str">
            <v>250G SA FLAN</v>
          </cell>
        </row>
        <row r="4">
          <cell r="B4" t="str">
            <v>250G PTIT DELI</v>
          </cell>
        </row>
        <row r="5">
          <cell r="B5" t="str">
            <v>250G AUCHAN</v>
          </cell>
        </row>
        <row r="6">
          <cell r="B6" t="str">
            <v>250G AV FLAN</v>
          </cell>
        </row>
        <row r="7">
          <cell r="B7" t="str">
            <v>500G 4/4 MARBRE</v>
          </cell>
        </row>
        <row r="8">
          <cell r="B8" t="str">
            <v>500G HUILE MARBRE</v>
          </cell>
        </row>
        <row r="9">
          <cell r="B9" t="str">
            <v>500G NATURE</v>
          </cell>
        </row>
        <row r="10">
          <cell r="B10" t="str">
            <v>500G AV FLAN</v>
          </cell>
        </row>
        <row r="11">
          <cell r="B11" t="str">
            <v>500G SANS FLAN</v>
          </cell>
        </row>
        <row r="12">
          <cell r="B12" t="str">
            <v>500G PTIT DELI</v>
          </cell>
        </row>
        <row r="13">
          <cell r="B13" t="str">
            <v>500G AUCHAN</v>
          </cell>
        </row>
        <row r="14">
          <cell r="B14" t="str">
            <v>500G DECLASS</v>
          </cell>
        </row>
        <row r="15">
          <cell r="B15" t="str">
            <v>600G</v>
          </cell>
        </row>
        <row r="16">
          <cell r="B16" t="str">
            <v>600G + FLAN</v>
          </cell>
        </row>
        <row r="17">
          <cell r="B17" t="str">
            <v>800G 4/4 AV FLAN</v>
          </cell>
        </row>
        <row r="18">
          <cell r="B18" t="str">
            <v>800G C AV FL</v>
          </cell>
        </row>
        <row r="19">
          <cell r="B19" t="str">
            <v>800G LONG</v>
          </cell>
        </row>
        <row r="20">
          <cell r="B20" t="str">
            <v>800G LONG + FLAN</v>
          </cell>
        </row>
        <row r="21">
          <cell r="B21" t="str">
            <v>800G 4/4 SANFLAN</v>
          </cell>
        </row>
        <row r="22">
          <cell r="B22" t="str">
            <v>800G HUILE SANFLAN</v>
          </cell>
        </row>
        <row r="23">
          <cell r="B23" t="str">
            <v>800G PTIT DELI</v>
          </cell>
        </row>
        <row r="24">
          <cell r="B24" t="str">
            <v>800G AUCHAN</v>
          </cell>
        </row>
        <row r="25">
          <cell r="B25" t="str">
            <v>800G DECLASS</v>
          </cell>
        </row>
        <row r="26">
          <cell r="B26" t="str">
            <v>900G</v>
          </cell>
        </row>
        <row r="27">
          <cell r="B27" t="str">
            <v>KILO 4/4</v>
          </cell>
        </row>
        <row r="28">
          <cell r="B28" t="str">
            <v>KILO HUILE</v>
          </cell>
        </row>
        <row r="29">
          <cell r="B29" t="str">
            <v>ETOIL 250G</v>
          </cell>
        </row>
        <row r="30">
          <cell r="B30" t="str">
            <v>ETOIL NAT CARREFOUR</v>
          </cell>
        </row>
        <row r="31">
          <cell r="B31" t="str">
            <v>ETOIL NAT DELHAIZE</v>
          </cell>
        </row>
        <row r="32">
          <cell r="B32" t="str">
            <v>ETOIL CHOC</v>
          </cell>
        </row>
        <row r="33">
          <cell r="B33" t="str">
            <v>ETOIL CHOC CARREFOUR</v>
          </cell>
        </row>
        <row r="34">
          <cell r="B34" t="str">
            <v>ETOIL CHOC DELHAIZE</v>
          </cell>
        </row>
        <row r="35">
          <cell r="B35" t="str">
            <v>ETOIL RAISIN</v>
          </cell>
        </row>
        <row r="36">
          <cell r="B36" t="str">
            <v>ETOIL RAISIN CARREFOUR</v>
          </cell>
        </row>
        <row r="37">
          <cell r="B37" t="str">
            <v>ETOIL RAISIN DELHAIZE</v>
          </cell>
        </row>
        <row r="38">
          <cell r="B38" t="str">
            <v>ETOILES 600G</v>
          </cell>
        </row>
        <row r="39">
          <cell r="B39" t="str">
            <v>ETOILES 800G</v>
          </cell>
        </row>
        <row r="40">
          <cell r="B40" t="str">
            <v>LONG MARBRE</v>
          </cell>
        </row>
        <row r="41">
          <cell r="B41" t="str">
            <v>LONG NATURE</v>
          </cell>
        </row>
        <row r="42">
          <cell r="B42" t="str">
            <v>LONG RAISIN</v>
          </cell>
        </row>
        <row r="43">
          <cell r="B43" t="str">
            <v>LONG ECO +</v>
          </cell>
        </row>
        <row r="44">
          <cell r="B44" t="str">
            <v>LONG POUCE</v>
          </cell>
        </row>
        <row r="45">
          <cell r="B45" t="str">
            <v>LONG PICO</v>
          </cell>
        </row>
        <row r="46">
          <cell r="B46" t="str">
            <v>LONG ERNEST</v>
          </cell>
        </row>
        <row r="47">
          <cell r="B47" t="str">
            <v>LONG MARBRE PICO</v>
          </cell>
        </row>
        <row r="48">
          <cell r="B48" t="str">
            <v>LONG RAISIN PICO</v>
          </cell>
        </row>
        <row r="49">
          <cell r="B49" t="str">
            <v>LONG DECLASSE</v>
          </cell>
        </row>
        <row r="50">
          <cell r="B50" t="str">
            <v>MADELEINES 200GR</v>
          </cell>
        </row>
        <row r="51">
          <cell r="B51" t="str">
            <v>MADELEINES 200GR CASINO</v>
          </cell>
        </row>
        <row r="52">
          <cell r="B52" t="str">
            <v>MADELEINES 200GR CARREFOUR</v>
          </cell>
        </row>
        <row r="53">
          <cell r="B53" t="str">
            <v>MADELEINES 200GR PROVERA</v>
          </cell>
        </row>
        <row r="54">
          <cell r="B54" t="str">
            <v>MADELEINES 200GR MARBREES</v>
          </cell>
        </row>
        <row r="55">
          <cell r="B55" t="str">
            <v>MADELEINES 250GR</v>
          </cell>
        </row>
        <row r="56">
          <cell r="B56" t="str">
            <v>MADELEINES 400GR</v>
          </cell>
        </row>
        <row r="57">
          <cell r="B57" t="str">
            <v>MADELEINES 500GR</v>
          </cell>
        </row>
        <row r="58">
          <cell r="B58" t="str">
            <v>MADELEINES 600GR</v>
          </cell>
        </row>
        <row r="59">
          <cell r="B59" t="str">
            <v>MADELEINES 700GR</v>
          </cell>
        </row>
        <row r="60">
          <cell r="B60" t="str">
            <v>MADELEINES 800GR</v>
          </cell>
        </row>
        <row r="61">
          <cell r="B61" t="str">
            <v>MADELEINES 900GR</v>
          </cell>
        </row>
        <row r="62">
          <cell r="B62" t="str">
            <v>MADELEINES KILO</v>
          </cell>
        </row>
        <row r="63">
          <cell r="B63" t="str">
            <v>MAD MOYENNES 250GR</v>
          </cell>
        </row>
        <row r="64">
          <cell r="B64" t="str">
            <v>MADELEINES IND 240GR</v>
          </cell>
        </row>
        <row r="65">
          <cell r="B65" t="str">
            <v>MADELEINES IND 250GR</v>
          </cell>
        </row>
        <row r="66">
          <cell r="B66" t="str">
            <v>MADELEINES IND 300GR</v>
          </cell>
        </row>
        <row r="67">
          <cell r="B67" t="str">
            <v>MADELEINES IND 400GR</v>
          </cell>
        </row>
        <row r="68">
          <cell r="B68" t="str">
            <v>MADELEINES IND 420GR</v>
          </cell>
        </row>
        <row r="69">
          <cell r="B69" t="str">
            <v>MADELEINES IND 500GR</v>
          </cell>
        </row>
        <row r="70">
          <cell r="B70" t="str">
            <v>MADELEINES IND 600GR</v>
          </cell>
        </row>
        <row r="71">
          <cell r="B71" t="str">
            <v>MADELEINES IND 800GR</v>
          </cell>
        </row>
        <row r="72">
          <cell r="B72" t="str">
            <v>MADELEINES IND 800GR EISMANN</v>
          </cell>
        </row>
        <row r="73">
          <cell r="B73" t="str">
            <v>MADELEINETTES KG</v>
          </cell>
        </row>
        <row r="74">
          <cell r="B74" t="str">
            <v>MADELEINETTES 85GR</v>
          </cell>
        </row>
        <row r="75">
          <cell r="B75" t="str">
            <v>MADELEINETTES 90GR</v>
          </cell>
        </row>
        <row r="76">
          <cell r="B76" t="str">
            <v>MADELEINETTES 100GR</v>
          </cell>
        </row>
        <row r="77">
          <cell r="B77" t="str">
            <v>MADELEINETTES 170GR</v>
          </cell>
        </row>
        <row r="78">
          <cell r="B78" t="str">
            <v>MADELEINETTES 200GR</v>
          </cell>
        </row>
        <row r="79">
          <cell r="B79" t="str">
            <v>MADELEINETTES 250GR</v>
          </cell>
        </row>
        <row r="80">
          <cell r="B80" t="str">
            <v>MADELEINETTES 300GR</v>
          </cell>
        </row>
        <row r="81">
          <cell r="B81" t="str">
            <v>MADELEINETTES 350GR</v>
          </cell>
        </row>
        <row r="82">
          <cell r="B82" t="str">
            <v>MADELEINETTES 400GR</v>
          </cell>
        </row>
        <row r="83">
          <cell r="B83" t="str">
            <v>MADELEINETTES 500GR</v>
          </cell>
        </row>
        <row r="84">
          <cell r="B84" t="str">
            <v>MADELEINETTES 600GR</v>
          </cell>
        </row>
        <row r="85">
          <cell r="B85" t="str">
            <v>MADELEINETTES 800GR</v>
          </cell>
        </row>
        <row r="86">
          <cell r="B86" t="str">
            <v>M/F FR EISMANN 720G</v>
          </cell>
        </row>
        <row r="87">
          <cell r="B87" t="str">
            <v>M/F PEPITES EISMANN 720G</v>
          </cell>
        </row>
        <row r="88">
          <cell r="B88" t="str">
            <v>M/F CIT 720</v>
          </cell>
        </row>
        <row r="89">
          <cell r="B89" t="str">
            <v>M/F F RO 720G</v>
          </cell>
        </row>
        <row r="90">
          <cell r="B90" t="str">
            <v>MINI CITRON 720G</v>
          </cell>
        </row>
        <row r="91">
          <cell r="B91" t="str">
            <v>MINI 1000G</v>
          </cell>
        </row>
        <row r="92">
          <cell r="B92" t="str">
            <v>CAISSETTE 720G</v>
          </cell>
        </row>
        <row r="93">
          <cell r="B93" t="str">
            <v>CAISSETTE 840G</v>
          </cell>
        </row>
        <row r="94">
          <cell r="B94" t="str">
            <v>MINI ASS 840G</v>
          </cell>
        </row>
        <row r="95">
          <cell r="B95" t="str">
            <v>MINI MARBRES 840G</v>
          </cell>
        </row>
        <row r="96">
          <cell r="B96" t="str">
            <v>FRUIT 840G</v>
          </cell>
        </row>
        <row r="97">
          <cell r="B97" t="str">
            <v>CAIS BLEUE 800G</v>
          </cell>
        </row>
        <row r="98">
          <cell r="B98" t="str">
            <v>MARBRE EISMANN 800G</v>
          </cell>
        </row>
        <row r="99">
          <cell r="B99" t="str">
            <v>ETUIS 150G</v>
          </cell>
        </row>
        <row r="100">
          <cell r="B100" t="str">
            <v>ETUIS 420G</v>
          </cell>
        </row>
        <row r="101">
          <cell r="B101" t="str">
            <v>MINI 350G</v>
          </cell>
        </row>
        <row r="102">
          <cell r="B102" t="str">
            <v>MINI 350G +10%</v>
          </cell>
        </row>
        <row r="103">
          <cell r="B103" t="str">
            <v>MINI 420G</v>
          </cell>
        </row>
        <row r="104">
          <cell r="B104" t="str">
            <v>MINI 500G</v>
          </cell>
        </row>
        <row r="105">
          <cell r="B105" t="str">
            <v>MINI 540G</v>
          </cell>
        </row>
        <row r="106">
          <cell r="B106" t="str">
            <v>MINI 600G</v>
          </cell>
        </row>
        <row r="107">
          <cell r="B107" t="str">
            <v>M/D 640G</v>
          </cell>
        </row>
        <row r="108">
          <cell r="B108" t="str">
            <v>MINI GALETTES 700G</v>
          </cell>
        </row>
        <row r="109">
          <cell r="B109" t="str">
            <v>GALETTES IND 600GR</v>
          </cell>
        </row>
        <row r="110">
          <cell r="B110" t="str">
            <v>GALETTES VRAC 700GR</v>
          </cell>
        </row>
        <row r="111">
          <cell r="B111" t="str">
            <v>GALETTES 665G CAISSETTE</v>
          </cell>
        </row>
        <row r="112">
          <cell r="B112" t="str">
            <v>PALETS 650GR</v>
          </cell>
        </row>
        <row r="113">
          <cell r="B113" t="str">
            <v>PALETS IND 500GR</v>
          </cell>
        </row>
      </sheetData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</sheetDataSet>
  </externalBook>
</externalLink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B4E13C-ECD4-4F9C-A8E6-1DB2B30D32BA}">
  <sheetPr codeName="Feuil1">
    <tabColor theme="8"/>
  </sheetPr>
  <dimension ref="A1:CD60"/>
  <sheetViews>
    <sheetView showGridLines="0" tabSelected="1" topLeftCell="A4" zoomScaleNormal="100" workbookViewId="0">
      <selection activeCell="C17" sqref="C17"/>
    </sheetView>
  </sheetViews>
  <sheetFormatPr baseColWidth="10" defaultRowHeight="15" x14ac:dyDescent="0.25"/>
  <cols>
    <col min="1" max="1" width="4.42578125" customWidth="1"/>
    <col min="2" max="2" width="44.140625" customWidth="1"/>
    <col min="3" max="3" width="12.5703125" customWidth="1"/>
    <col min="4" max="4" width="1.85546875" style="31" customWidth="1"/>
    <col min="5" max="5" width="15.28515625" customWidth="1"/>
    <col min="6" max="6" width="1.7109375" style="47" customWidth="1"/>
    <col min="7" max="7" width="12.140625" customWidth="1"/>
    <col min="8" max="9" width="12" customWidth="1"/>
    <col min="10" max="10" width="1.7109375" customWidth="1"/>
    <col min="11" max="11" width="6.5703125" customWidth="1"/>
    <col min="13" max="13" width="11.42578125" customWidth="1"/>
    <col min="14" max="14" width="0.85546875" customWidth="1"/>
    <col min="15" max="15" width="6.140625" style="1" customWidth="1"/>
    <col min="16" max="16" width="1.7109375" customWidth="1"/>
    <col min="17" max="76" width="2.7109375" customWidth="1"/>
    <col min="83" max="105" width="3.5703125" customWidth="1"/>
    <col min="106" max="122" width="2.28515625" customWidth="1"/>
  </cols>
  <sheetData>
    <row r="1" spans="1:82" ht="21.75" customHeight="1" x14ac:dyDescent="0.25">
      <c r="CC1" s="65"/>
    </row>
    <row r="2" spans="1:82" ht="15" customHeight="1" x14ac:dyDescent="0.4">
      <c r="A2" s="10"/>
      <c r="B2" s="86" t="s">
        <v>35</v>
      </c>
      <c r="C2" s="86"/>
      <c r="D2" s="86"/>
      <c r="E2" s="86"/>
      <c r="F2" s="46"/>
      <c r="G2" s="14"/>
      <c r="H2" s="72" t="s">
        <v>34</v>
      </c>
      <c r="I2" s="72"/>
      <c r="J2" s="72"/>
      <c r="K2" s="72"/>
      <c r="L2" s="72"/>
      <c r="M2" s="72"/>
      <c r="N2" s="72"/>
      <c r="O2" s="72"/>
      <c r="P2" s="72"/>
      <c r="Q2" s="72"/>
      <c r="R2" s="72"/>
      <c r="S2" s="72"/>
      <c r="T2" s="72"/>
      <c r="U2" s="72"/>
      <c r="V2" s="14"/>
      <c r="W2" s="14"/>
      <c r="X2" s="14"/>
      <c r="Y2" s="14"/>
      <c r="Z2" s="14"/>
      <c r="AA2" s="14"/>
      <c r="AB2" s="14"/>
      <c r="AC2" s="14"/>
      <c r="AD2" s="14"/>
      <c r="AE2" s="14"/>
      <c r="AF2" s="15"/>
      <c r="AG2" s="15"/>
      <c r="AH2" s="15"/>
      <c r="AI2" s="94" t="s">
        <v>41</v>
      </c>
      <c r="AJ2" s="94"/>
      <c r="AK2" s="94"/>
      <c r="AL2" s="94"/>
      <c r="AM2" s="94"/>
      <c r="AN2" s="94"/>
      <c r="AO2" s="94"/>
      <c r="AP2" s="94"/>
      <c r="AQ2" s="94"/>
      <c r="AR2" s="94"/>
      <c r="AS2" s="94"/>
      <c r="AT2" s="94"/>
      <c r="AU2" s="94"/>
      <c r="AV2" s="94"/>
      <c r="AW2" s="94"/>
      <c r="AX2" s="94"/>
      <c r="AY2" s="94"/>
      <c r="AZ2" s="94"/>
      <c r="BA2" s="94"/>
      <c r="BB2" s="94"/>
      <c r="BC2" s="94"/>
      <c r="BD2" s="94"/>
      <c r="BE2" s="94"/>
      <c r="BF2" s="94"/>
      <c r="BG2" s="94"/>
      <c r="BH2" s="94"/>
      <c r="BI2" s="94"/>
      <c r="BJ2" s="94"/>
      <c r="BK2" s="94"/>
      <c r="BL2" s="94"/>
      <c r="BM2" s="94"/>
      <c r="BN2" s="94"/>
      <c r="BO2" s="94"/>
      <c r="BP2" s="94"/>
      <c r="BQ2" s="94"/>
      <c r="BR2" s="94"/>
      <c r="BS2" s="94"/>
      <c r="BT2" s="94"/>
      <c r="BU2" s="94"/>
      <c r="BV2" s="94"/>
      <c r="BW2" s="94"/>
      <c r="BX2" s="94"/>
    </row>
    <row r="3" spans="1:82" ht="24.75" customHeight="1" x14ac:dyDescent="0.4">
      <c r="A3" s="10"/>
      <c r="B3" s="86"/>
      <c r="C3" s="86"/>
      <c r="D3" s="86"/>
      <c r="E3" s="86"/>
      <c r="F3" s="46"/>
      <c r="G3" s="14"/>
      <c r="H3" s="72"/>
      <c r="I3" s="72"/>
      <c r="J3" s="72"/>
      <c r="K3" s="72"/>
      <c r="L3" s="72"/>
      <c r="M3" s="72"/>
      <c r="N3" s="72"/>
      <c r="O3" s="72"/>
      <c r="P3" s="72"/>
      <c r="Q3" s="72"/>
      <c r="R3" s="72"/>
      <c r="S3" s="72"/>
      <c r="T3" s="72"/>
      <c r="U3" s="72"/>
      <c r="V3" s="14"/>
      <c r="W3" s="14"/>
      <c r="X3" s="14"/>
      <c r="Y3" s="14"/>
      <c r="Z3" s="14"/>
      <c r="AA3" s="14"/>
      <c r="AB3" s="14"/>
      <c r="AC3" s="14"/>
      <c r="AD3" s="14"/>
      <c r="AE3" s="14"/>
      <c r="AF3" s="15"/>
      <c r="AG3" s="15"/>
      <c r="AH3" s="15"/>
      <c r="AI3" s="94"/>
      <c r="AJ3" s="94"/>
      <c r="AK3" s="94"/>
      <c r="AL3" s="94"/>
      <c r="AM3" s="94"/>
      <c r="AN3" s="94"/>
      <c r="AO3" s="94"/>
      <c r="AP3" s="94"/>
      <c r="AQ3" s="94"/>
      <c r="AR3" s="94"/>
      <c r="AS3" s="94"/>
      <c r="AT3" s="94"/>
      <c r="AU3" s="94"/>
      <c r="AV3" s="94"/>
      <c r="AW3" s="94"/>
      <c r="AX3" s="94"/>
      <c r="AY3" s="94"/>
      <c r="AZ3" s="94"/>
      <c r="BA3" s="94"/>
      <c r="BB3" s="94"/>
      <c r="BC3" s="94"/>
      <c r="BD3" s="94"/>
      <c r="BE3" s="94"/>
      <c r="BF3" s="94"/>
      <c r="BG3" s="94"/>
      <c r="BH3" s="94"/>
      <c r="BI3" s="94"/>
      <c r="BJ3" s="94"/>
      <c r="BK3" s="94"/>
      <c r="BL3" s="94"/>
      <c r="BM3" s="94"/>
      <c r="BN3" s="94"/>
      <c r="BO3" s="94"/>
      <c r="BP3" s="94"/>
      <c r="BQ3" s="94"/>
      <c r="BR3" s="94"/>
      <c r="BS3" s="94"/>
      <c r="BT3" s="94"/>
      <c r="BU3" s="94"/>
      <c r="BV3" s="94"/>
      <c r="BW3" s="94"/>
      <c r="BX3" s="94"/>
    </row>
    <row r="4" spans="1:82" x14ac:dyDescent="0.25">
      <c r="B4" s="12"/>
      <c r="Q4" s="13"/>
      <c r="R4" s="13"/>
      <c r="S4" s="13"/>
      <c r="T4" s="13"/>
      <c r="U4" s="13"/>
      <c r="V4" s="13"/>
      <c r="W4" s="13"/>
      <c r="X4" s="13"/>
      <c r="Y4" s="13"/>
      <c r="Z4" s="66" t="s">
        <v>22</v>
      </c>
      <c r="AA4" s="66"/>
      <c r="AB4" s="66"/>
      <c r="AC4" s="66"/>
      <c r="AD4" s="66" t="s">
        <v>23</v>
      </c>
      <c r="AE4" s="66"/>
      <c r="AF4" s="66"/>
      <c r="AG4" s="66"/>
      <c r="AH4" s="66"/>
      <c r="AI4" s="66"/>
    </row>
    <row r="5" spans="1:82" ht="23.25" customHeight="1" x14ac:dyDescent="0.25">
      <c r="B5" s="80" t="s">
        <v>42</v>
      </c>
      <c r="C5" s="81"/>
      <c r="D5" s="29"/>
      <c r="E5" s="11"/>
      <c r="F5" s="48"/>
      <c r="Q5" s="67" t="s">
        <v>18</v>
      </c>
      <c r="R5" s="67"/>
      <c r="S5" s="67"/>
      <c r="T5" s="67"/>
      <c r="U5" s="67"/>
      <c r="V5" s="67"/>
      <c r="W5" s="67"/>
      <c r="X5" s="67"/>
      <c r="Y5" s="67"/>
      <c r="Z5" s="84"/>
      <c r="AA5" s="84"/>
      <c r="AB5" s="84"/>
      <c r="AC5" s="84"/>
      <c r="AD5" s="84"/>
      <c r="AE5" s="84"/>
      <c r="AF5" s="84"/>
      <c r="AG5" s="84"/>
      <c r="AH5" s="84"/>
      <c r="AI5" s="84"/>
      <c r="AJ5" s="45"/>
      <c r="AM5" s="85"/>
      <c r="AN5" s="85"/>
      <c r="AO5" s="85"/>
      <c r="AP5" s="85"/>
      <c r="AQ5" s="85"/>
      <c r="AR5" s="85"/>
      <c r="AS5" s="85"/>
      <c r="AT5" s="85"/>
      <c r="AU5" s="85"/>
      <c r="AV5" s="85"/>
      <c r="AW5" s="85"/>
      <c r="AX5" s="85"/>
      <c r="AY5" s="85"/>
      <c r="AZ5" s="85"/>
      <c r="BA5" s="85"/>
      <c r="BB5" s="85"/>
      <c r="BC5" s="85"/>
      <c r="BD5" s="85"/>
      <c r="BE5" s="85"/>
      <c r="BF5" s="85"/>
      <c r="BG5" s="85"/>
      <c r="BH5" s="85"/>
      <c r="BI5" s="85"/>
      <c r="BJ5" s="85"/>
      <c r="BK5" s="85"/>
      <c r="BL5" s="85"/>
    </row>
    <row r="6" spans="1:82" ht="24" customHeight="1" x14ac:dyDescent="0.25">
      <c r="B6" s="82" t="s">
        <v>0</v>
      </c>
      <c r="C6" s="83"/>
      <c r="D6" s="29"/>
      <c r="E6" s="11"/>
      <c r="F6" s="48"/>
      <c r="Q6" s="67" t="s">
        <v>26</v>
      </c>
      <c r="R6" s="67"/>
      <c r="S6" s="67"/>
      <c r="T6" s="67"/>
      <c r="U6" s="67"/>
      <c r="V6" s="67"/>
      <c r="W6" s="67"/>
      <c r="X6" s="67"/>
      <c r="Y6" s="67"/>
      <c r="Z6" s="68"/>
      <c r="AA6" s="68"/>
      <c r="AB6" s="68"/>
      <c r="AC6" s="68"/>
      <c r="AD6" s="68"/>
      <c r="BS6" s="67">
        <f>$O$11/5</f>
        <v>0</v>
      </c>
      <c r="BT6" s="67"/>
    </row>
    <row r="7" spans="1:82" x14ac:dyDescent="0.25">
      <c r="B7" s="12"/>
    </row>
    <row r="8" spans="1:82" x14ac:dyDescent="0.25">
      <c r="B8" s="76" t="s">
        <v>15</v>
      </c>
      <c r="C8" s="66"/>
      <c r="D8" s="30"/>
      <c r="E8" s="7"/>
      <c r="F8" s="49"/>
      <c r="G8" s="52">
        <v>45566</v>
      </c>
      <c r="H8" s="39">
        <f>IF(WEEKDAY(G8,2)=1,G8,G8-WEEKDAY(G8,2)+1)</f>
        <v>45565</v>
      </c>
      <c r="I8" s="95"/>
      <c r="J8" s="3"/>
      <c r="K8" s="3"/>
      <c r="L8" s="1"/>
      <c r="M8" s="1"/>
      <c r="N8" s="1"/>
      <c r="O8" s="2"/>
      <c r="P8" s="25"/>
      <c r="Q8" s="69" t="str">
        <f>IF(Q12="L",TEXT(Q9,"mmm"),"")</f>
        <v>sept</v>
      </c>
      <c r="R8" s="69"/>
      <c r="S8" s="69"/>
      <c r="T8" s="69"/>
      <c r="U8" s="77"/>
      <c r="V8" s="69" t="str">
        <f t="shared" ref="V8" si="0">IF(V12="L",TEXT(V9,"mmm"),"")</f>
        <v>oct</v>
      </c>
      <c r="W8" s="69"/>
      <c r="X8" s="69"/>
      <c r="Y8" s="69"/>
      <c r="Z8" s="69"/>
      <c r="AA8" s="69" t="str">
        <f t="shared" ref="AA8" si="1">IF(AA12="L",TEXT(AA9,"mmm"),"")</f>
        <v>oct</v>
      </c>
      <c r="AB8" s="69"/>
      <c r="AC8" s="69"/>
      <c r="AD8" s="69"/>
      <c r="AE8" s="69"/>
      <c r="AF8" s="69" t="str">
        <f t="shared" ref="AF8" si="2">IF(AF12="L",TEXT(AF9,"mmm"),"")</f>
        <v>oct</v>
      </c>
      <c r="AG8" s="69"/>
      <c r="AH8" s="69"/>
      <c r="AI8" s="69"/>
      <c r="AJ8" s="69"/>
      <c r="AK8" s="69" t="str">
        <f t="shared" ref="AK8" si="3">IF(AK12="L",TEXT(AK9,"mmm"),"")</f>
        <v>oct</v>
      </c>
      <c r="AL8" s="69"/>
      <c r="AM8" s="69"/>
      <c r="AN8" s="69"/>
      <c r="AO8" s="69"/>
      <c r="AP8" s="69" t="str">
        <f t="shared" ref="AP8" si="4">IF(AP12="L",TEXT(AP9,"mmm"),"")</f>
        <v>nov</v>
      </c>
      <c r="AQ8" s="69"/>
      <c r="AR8" s="69"/>
      <c r="AS8" s="69"/>
      <c r="AT8" s="69"/>
      <c r="AU8" s="69" t="str">
        <f t="shared" ref="AU8" si="5">IF(AU12="L",TEXT(AU9,"mmm"),"")</f>
        <v>nov</v>
      </c>
      <c r="AV8" s="69"/>
      <c r="AW8" s="69"/>
      <c r="AX8" s="69"/>
      <c r="AY8" s="69"/>
      <c r="AZ8" s="69" t="str">
        <f t="shared" ref="AZ8" si="6">IF(AZ12="L",TEXT(AZ9,"mmm"),"")</f>
        <v>nov</v>
      </c>
      <c r="BA8" s="69"/>
      <c r="BB8" s="69"/>
      <c r="BC8" s="69"/>
      <c r="BD8" s="69"/>
      <c r="BE8" s="91" t="str">
        <f t="shared" ref="BE8" si="7">IF(BE12="L",TEXT(BE9,"mmm"),"")</f>
        <v>nov</v>
      </c>
      <c r="BF8" s="92"/>
      <c r="BG8" s="92"/>
      <c r="BH8" s="92"/>
      <c r="BI8" s="93"/>
      <c r="BJ8" s="69" t="str">
        <f t="shared" ref="BJ8" si="8">IF(BJ12="L",TEXT(BJ9,"mmm"),"")</f>
        <v>déc</v>
      </c>
      <c r="BK8" s="69"/>
      <c r="BL8" s="69"/>
      <c r="BM8" s="69"/>
      <c r="BN8" s="69"/>
      <c r="BO8" s="69" t="str">
        <f t="shared" ref="BO8" si="9">IF(BO12="L",TEXT(BO9,"mmm"),"")</f>
        <v>déc</v>
      </c>
      <c r="BP8" s="69"/>
      <c r="BQ8" s="69"/>
      <c r="BR8" s="69"/>
      <c r="BS8" s="69"/>
      <c r="BT8" s="69" t="str">
        <f t="shared" ref="BT8" si="10">IF(BT12="L",TEXT(BT9,"mmm"),"")</f>
        <v>déc</v>
      </c>
      <c r="BU8" s="69"/>
      <c r="BV8" s="69"/>
      <c r="BW8" s="69"/>
      <c r="BX8" s="69"/>
    </row>
    <row r="9" spans="1:82" ht="16.5" customHeight="1" x14ac:dyDescent="0.25">
      <c r="G9" s="1"/>
      <c r="H9" s="1"/>
      <c r="I9" s="1"/>
      <c r="J9" s="1"/>
      <c r="K9" s="1"/>
      <c r="L9" s="1"/>
      <c r="M9" s="1"/>
      <c r="N9" s="1"/>
      <c r="O9" s="2"/>
      <c r="P9" s="22"/>
      <c r="Q9" s="73">
        <f>WORKDAY(H8,O11,)</f>
        <v>45565</v>
      </c>
      <c r="R9" s="73">
        <f>WORKDAY(Q9,1)</f>
        <v>45566</v>
      </c>
      <c r="S9" s="73">
        <f t="shared" ref="S9:BN9" si="11">WORKDAY(R9,1)</f>
        <v>45567</v>
      </c>
      <c r="T9" s="73">
        <f t="shared" si="11"/>
        <v>45568</v>
      </c>
      <c r="U9" s="75">
        <f t="shared" si="11"/>
        <v>45569</v>
      </c>
      <c r="V9" s="73">
        <f t="shared" si="11"/>
        <v>45572</v>
      </c>
      <c r="W9" s="73">
        <f t="shared" si="11"/>
        <v>45573</v>
      </c>
      <c r="X9" s="73">
        <f t="shared" si="11"/>
        <v>45574</v>
      </c>
      <c r="Y9" s="73">
        <f t="shared" si="11"/>
        <v>45575</v>
      </c>
      <c r="Z9" s="73">
        <f t="shared" si="11"/>
        <v>45576</v>
      </c>
      <c r="AA9" s="73">
        <f t="shared" si="11"/>
        <v>45579</v>
      </c>
      <c r="AB9" s="73">
        <f t="shared" si="11"/>
        <v>45580</v>
      </c>
      <c r="AC9" s="73">
        <f t="shared" si="11"/>
        <v>45581</v>
      </c>
      <c r="AD9" s="73">
        <f t="shared" si="11"/>
        <v>45582</v>
      </c>
      <c r="AE9" s="73">
        <f t="shared" si="11"/>
        <v>45583</v>
      </c>
      <c r="AF9" s="73">
        <f t="shared" si="11"/>
        <v>45586</v>
      </c>
      <c r="AG9" s="73">
        <f t="shared" si="11"/>
        <v>45587</v>
      </c>
      <c r="AH9" s="73">
        <f t="shared" si="11"/>
        <v>45588</v>
      </c>
      <c r="AI9" s="73">
        <f t="shared" si="11"/>
        <v>45589</v>
      </c>
      <c r="AJ9" s="73">
        <f t="shared" si="11"/>
        <v>45590</v>
      </c>
      <c r="AK9" s="73">
        <f t="shared" si="11"/>
        <v>45593</v>
      </c>
      <c r="AL9" s="73">
        <f t="shared" si="11"/>
        <v>45594</v>
      </c>
      <c r="AM9" s="73">
        <f t="shared" si="11"/>
        <v>45595</v>
      </c>
      <c r="AN9" s="73">
        <f t="shared" si="11"/>
        <v>45596</v>
      </c>
      <c r="AO9" s="73">
        <f t="shared" si="11"/>
        <v>45597</v>
      </c>
      <c r="AP9" s="73">
        <f t="shared" si="11"/>
        <v>45600</v>
      </c>
      <c r="AQ9" s="73">
        <f t="shared" si="11"/>
        <v>45601</v>
      </c>
      <c r="AR9" s="73">
        <f t="shared" si="11"/>
        <v>45602</v>
      </c>
      <c r="AS9" s="73">
        <f t="shared" si="11"/>
        <v>45603</v>
      </c>
      <c r="AT9" s="73">
        <f t="shared" si="11"/>
        <v>45604</v>
      </c>
      <c r="AU9" s="73">
        <f t="shared" si="11"/>
        <v>45607</v>
      </c>
      <c r="AV9" s="73">
        <f t="shared" si="11"/>
        <v>45608</v>
      </c>
      <c r="AW9" s="73">
        <f t="shared" si="11"/>
        <v>45609</v>
      </c>
      <c r="AX9" s="73">
        <f t="shared" si="11"/>
        <v>45610</v>
      </c>
      <c r="AY9" s="73">
        <f t="shared" si="11"/>
        <v>45611</v>
      </c>
      <c r="AZ9" s="73">
        <f t="shared" si="11"/>
        <v>45614</v>
      </c>
      <c r="BA9" s="73">
        <f t="shared" si="11"/>
        <v>45615</v>
      </c>
      <c r="BB9" s="73">
        <f t="shared" si="11"/>
        <v>45616</v>
      </c>
      <c r="BC9" s="73">
        <f t="shared" si="11"/>
        <v>45617</v>
      </c>
      <c r="BD9" s="73">
        <f t="shared" si="11"/>
        <v>45618</v>
      </c>
      <c r="BE9" s="73">
        <f>WORKDAY(BD9,1)</f>
        <v>45621</v>
      </c>
      <c r="BF9" s="73">
        <f t="shared" si="11"/>
        <v>45622</v>
      </c>
      <c r="BG9" s="73">
        <f t="shared" si="11"/>
        <v>45623</v>
      </c>
      <c r="BH9" s="73">
        <f t="shared" si="11"/>
        <v>45624</v>
      </c>
      <c r="BI9" s="73">
        <f t="shared" si="11"/>
        <v>45625</v>
      </c>
      <c r="BJ9" s="73">
        <f t="shared" si="11"/>
        <v>45628</v>
      </c>
      <c r="BK9" s="73">
        <f t="shared" si="11"/>
        <v>45629</v>
      </c>
      <c r="BL9" s="73">
        <f t="shared" si="11"/>
        <v>45630</v>
      </c>
      <c r="BM9" s="73">
        <f t="shared" si="11"/>
        <v>45631</v>
      </c>
      <c r="BN9" s="73">
        <f t="shared" si="11"/>
        <v>45632</v>
      </c>
      <c r="BO9" s="73">
        <f t="shared" ref="BO9" si="12">WORKDAY(BN9,1)</f>
        <v>45635</v>
      </c>
      <c r="BP9" s="73">
        <f t="shared" ref="BP9" si="13">WORKDAY(BO9,1)</f>
        <v>45636</v>
      </c>
      <c r="BQ9" s="73">
        <f t="shared" ref="BQ9" si="14">WORKDAY(BP9,1)</f>
        <v>45637</v>
      </c>
      <c r="BR9" s="73">
        <f t="shared" ref="BR9" si="15">WORKDAY(BQ9,1)</f>
        <v>45638</v>
      </c>
      <c r="BS9" s="73">
        <f t="shared" ref="BS9" si="16">WORKDAY(BR9,1)</f>
        <v>45639</v>
      </c>
      <c r="BT9" s="73">
        <f t="shared" ref="BT9" si="17">WORKDAY(BS9,1)</f>
        <v>45642</v>
      </c>
      <c r="BU9" s="73">
        <f t="shared" ref="BU9" si="18">WORKDAY(BT9,1)</f>
        <v>45643</v>
      </c>
      <c r="BV9" s="73">
        <f t="shared" ref="BV9" si="19">WORKDAY(BU9,1)</f>
        <v>45644</v>
      </c>
      <c r="BW9" s="73">
        <f t="shared" ref="BW9" si="20">WORKDAY(BV9,1)</f>
        <v>45645</v>
      </c>
      <c r="BX9" s="73">
        <f t="shared" ref="BX9" si="21">WORKDAY(BW9,1)</f>
        <v>45646</v>
      </c>
    </row>
    <row r="10" spans="1:82" x14ac:dyDescent="0.25">
      <c r="B10" s="44" t="s">
        <v>16</v>
      </c>
      <c r="C10" s="79" t="s">
        <v>17</v>
      </c>
      <c r="D10" s="79"/>
      <c r="E10" s="79"/>
      <c r="F10" s="79"/>
      <c r="G10" s="79"/>
      <c r="H10" s="79"/>
      <c r="I10" s="79"/>
      <c r="J10" s="79"/>
      <c r="K10" s="79"/>
      <c r="L10" s="79"/>
      <c r="M10" s="79"/>
      <c r="N10" s="1"/>
      <c r="O10" s="2"/>
      <c r="P10" s="22"/>
      <c r="Q10" s="74"/>
      <c r="R10" s="74"/>
      <c r="S10" s="74"/>
      <c r="T10" s="74"/>
      <c r="U10" s="75"/>
      <c r="V10" s="74"/>
      <c r="W10" s="74"/>
      <c r="X10" s="74"/>
      <c r="Y10" s="74"/>
      <c r="Z10" s="74"/>
      <c r="AA10" s="74"/>
      <c r="AB10" s="74"/>
      <c r="AC10" s="74"/>
      <c r="AD10" s="74"/>
      <c r="AE10" s="74"/>
      <c r="AF10" s="74"/>
      <c r="AG10" s="74"/>
      <c r="AH10" s="74"/>
      <c r="AI10" s="74"/>
      <c r="AJ10" s="74"/>
      <c r="AK10" s="74"/>
      <c r="AL10" s="74"/>
      <c r="AM10" s="74"/>
      <c r="AN10" s="74"/>
      <c r="AO10" s="74"/>
      <c r="AP10" s="74"/>
      <c r="AQ10" s="74"/>
      <c r="AR10" s="74"/>
      <c r="AS10" s="74"/>
      <c r="AT10" s="74"/>
      <c r="AU10" s="74"/>
      <c r="AV10" s="74"/>
      <c r="AW10" s="74"/>
      <c r="AX10" s="74"/>
      <c r="AY10" s="74"/>
      <c r="AZ10" s="74"/>
      <c r="BA10" s="74"/>
      <c r="BB10" s="74"/>
      <c r="BC10" s="74"/>
      <c r="BD10" s="74"/>
      <c r="BE10" s="74"/>
      <c r="BF10" s="74"/>
      <c r="BG10" s="74"/>
      <c r="BH10" s="74"/>
      <c r="BI10" s="74"/>
      <c r="BJ10" s="74"/>
      <c r="BK10" s="74"/>
      <c r="BL10" s="74"/>
      <c r="BM10" s="74"/>
      <c r="BN10" s="74"/>
      <c r="BO10" s="74"/>
      <c r="BP10" s="74"/>
      <c r="BQ10" s="74"/>
      <c r="BR10" s="74"/>
      <c r="BS10" s="74"/>
      <c r="BT10" s="74"/>
      <c r="BU10" s="74"/>
      <c r="BV10" s="74"/>
      <c r="BW10" s="74"/>
      <c r="BX10" s="74"/>
      <c r="BZ10">
        <f>IF(BM9 =0, 1,0)</f>
        <v>0</v>
      </c>
      <c r="CA10">
        <f t="shared" ref="CA10:CB10" ca="1" si="22">IF(BN9 =TODAY(), 1,0)</f>
        <v>0</v>
      </c>
      <c r="CB10">
        <f t="shared" ca="1" si="22"/>
        <v>0</v>
      </c>
      <c r="CC10" cm="1">
        <f t="array" aca="1" ref="CC10" ca="1">IF((ISNUMBER(FIND(LOWER('Parametre Gantt'!$A$3), LOWER($B14)))),CELL("couleur",'Parametre Gantt'!$B$3),0)</f>
        <v>0</v>
      </c>
      <c r="CD10">
        <f>IF((ISNUMBER(FIND(LOWER('Parametre Gantt'!$A$3), LOWER($B14)))),1,0)</f>
        <v>0</v>
      </c>
    </row>
    <row r="11" spans="1:82" x14ac:dyDescent="0.25">
      <c r="B11" s="43"/>
      <c r="G11" s="1"/>
      <c r="H11" s="1"/>
      <c r="I11" s="1"/>
      <c r="J11" s="1"/>
      <c r="K11" s="1"/>
      <c r="L11" s="5"/>
      <c r="M11" s="1"/>
      <c r="N11" s="1"/>
      <c r="O11" s="8">
        <v>0</v>
      </c>
      <c r="P11" s="22"/>
      <c r="Q11" s="74"/>
      <c r="R11" s="74"/>
      <c r="S11" s="74"/>
      <c r="T11" s="74"/>
      <c r="U11" s="75"/>
      <c r="V11" s="74"/>
      <c r="W11" s="74"/>
      <c r="X11" s="74"/>
      <c r="Y11" s="74"/>
      <c r="Z11" s="74"/>
      <c r="AA11" s="74"/>
      <c r="AB11" s="74"/>
      <c r="AC11" s="74"/>
      <c r="AD11" s="74"/>
      <c r="AE11" s="74"/>
      <c r="AF11" s="74"/>
      <c r="AG11" s="74"/>
      <c r="AH11" s="74"/>
      <c r="AI11" s="74"/>
      <c r="AJ11" s="74"/>
      <c r="AK11" s="74"/>
      <c r="AL11" s="74"/>
      <c r="AM11" s="74"/>
      <c r="AN11" s="74"/>
      <c r="AO11" s="74"/>
      <c r="AP11" s="74"/>
      <c r="AQ11" s="74"/>
      <c r="AR11" s="74"/>
      <c r="AS11" s="74"/>
      <c r="AT11" s="74"/>
      <c r="AU11" s="74"/>
      <c r="AV11" s="74"/>
      <c r="AW11" s="74"/>
      <c r="AX11" s="74"/>
      <c r="AY11" s="74"/>
      <c r="AZ11" s="74"/>
      <c r="BA11" s="74"/>
      <c r="BB11" s="74"/>
      <c r="BC11" s="74"/>
      <c r="BD11" s="74"/>
      <c r="BE11" s="74"/>
      <c r="BF11" s="74"/>
      <c r="BG11" s="74"/>
      <c r="BH11" s="74"/>
      <c r="BI11" s="74"/>
      <c r="BJ11" s="74"/>
      <c r="BK11" s="74"/>
      <c r="BL11" s="74"/>
      <c r="BM11" s="74"/>
      <c r="BN11" s="74"/>
      <c r="BO11" s="74"/>
      <c r="BP11" s="74"/>
      <c r="BQ11" s="74"/>
      <c r="BR11" s="74"/>
      <c r="BS11" s="74"/>
      <c r="BT11" s="74"/>
      <c r="BU11" s="74"/>
      <c r="BV11" s="74"/>
      <c r="BW11" s="74"/>
      <c r="BX11" s="74"/>
      <c r="CC11" cm="1">
        <f t="array" aca="1" ref="CC11" ca="1">IF((ISNUMBER(FIND(LOWER('Parametre Gantt'!$A$3), LOWER($B15)))),CELL("couleur",'Parametre Gantt'!$B$3),0)</f>
        <v>0</v>
      </c>
      <c r="CD11">
        <f>IF((ISNUMBER(FIND(LOWER('Parametre Gantt'!$A$3), LOWER($B15)))),1,0)</f>
        <v>0</v>
      </c>
    </row>
    <row r="12" spans="1:82" x14ac:dyDescent="0.25">
      <c r="A12" s="42"/>
      <c r="B12" s="78" t="s">
        <v>14</v>
      </c>
      <c r="C12" s="78"/>
      <c r="D12" s="78"/>
      <c r="E12" s="78"/>
      <c r="F12" s="50"/>
      <c r="G12" s="87" t="s">
        <v>6</v>
      </c>
      <c r="H12" s="96"/>
      <c r="I12" s="88"/>
      <c r="J12" s="19"/>
      <c r="K12" s="6"/>
      <c r="L12" s="89" t="s">
        <v>7</v>
      </c>
      <c r="M12" s="90"/>
      <c r="N12" s="19"/>
      <c r="O12" s="6"/>
      <c r="P12" s="23"/>
      <c r="Q12" s="38" t="str">
        <f>UPPER(LEFT(TEXT(Q9,"jjj"),1))</f>
        <v>L</v>
      </c>
      <c r="R12" s="38" t="str">
        <f t="shared" ref="R12:BX12" si="23">UPPER(LEFT(TEXT(R9,"jjj"),1))</f>
        <v>M</v>
      </c>
      <c r="S12" s="38" t="str">
        <f t="shared" si="23"/>
        <v>M</v>
      </c>
      <c r="T12" s="38" t="str">
        <f t="shared" si="23"/>
        <v>J</v>
      </c>
      <c r="U12" s="38" t="str">
        <f t="shared" si="23"/>
        <v>V</v>
      </c>
      <c r="V12" s="38" t="str">
        <f t="shared" si="23"/>
        <v>L</v>
      </c>
      <c r="W12" s="38" t="str">
        <f t="shared" si="23"/>
        <v>M</v>
      </c>
      <c r="X12" s="38" t="str">
        <f t="shared" si="23"/>
        <v>M</v>
      </c>
      <c r="Y12" s="38" t="str">
        <f t="shared" si="23"/>
        <v>J</v>
      </c>
      <c r="Z12" s="38" t="str">
        <f t="shared" si="23"/>
        <v>V</v>
      </c>
      <c r="AA12" s="38" t="str">
        <f t="shared" si="23"/>
        <v>L</v>
      </c>
      <c r="AB12" s="38" t="str">
        <f t="shared" si="23"/>
        <v>M</v>
      </c>
      <c r="AC12" s="38" t="str">
        <f t="shared" si="23"/>
        <v>M</v>
      </c>
      <c r="AD12" s="38" t="str">
        <f t="shared" si="23"/>
        <v>J</v>
      </c>
      <c r="AE12" s="38" t="str">
        <f t="shared" si="23"/>
        <v>V</v>
      </c>
      <c r="AF12" s="38" t="str">
        <f t="shared" si="23"/>
        <v>L</v>
      </c>
      <c r="AG12" s="38" t="str">
        <f t="shared" si="23"/>
        <v>M</v>
      </c>
      <c r="AH12" s="38" t="str">
        <f t="shared" si="23"/>
        <v>M</v>
      </c>
      <c r="AI12" s="38" t="str">
        <f t="shared" si="23"/>
        <v>J</v>
      </c>
      <c r="AJ12" s="38" t="str">
        <f t="shared" si="23"/>
        <v>V</v>
      </c>
      <c r="AK12" s="38" t="str">
        <f t="shared" si="23"/>
        <v>L</v>
      </c>
      <c r="AL12" s="38" t="str">
        <f t="shared" si="23"/>
        <v>M</v>
      </c>
      <c r="AM12" s="38" t="str">
        <f t="shared" si="23"/>
        <v>M</v>
      </c>
      <c r="AN12" s="38" t="str">
        <f t="shared" si="23"/>
        <v>J</v>
      </c>
      <c r="AO12" s="38" t="str">
        <f t="shared" si="23"/>
        <v>V</v>
      </c>
      <c r="AP12" s="38" t="str">
        <f t="shared" si="23"/>
        <v>L</v>
      </c>
      <c r="AQ12" s="38" t="str">
        <f t="shared" si="23"/>
        <v>M</v>
      </c>
      <c r="AR12" s="38" t="str">
        <f t="shared" si="23"/>
        <v>M</v>
      </c>
      <c r="AS12" s="38" t="str">
        <f t="shared" si="23"/>
        <v>J</v>
      </c>
      <c r="AT12" s="38" t="str">
        <f t="shared" si="23"/>
        <v>V</v>
      </c>
      <c r="AU12" s="38" t="str">
        <f t="shared" si="23"/>
        <v>L</v>
      </c>
      <c r="AV12" s="38" t="str">
        <f t="shared" si="23"/>
        <v>M</v>
      </c>
      <c r="AW12" s="38" t="str">
        <f t="shared" si="23"/>
        <v>M</v>
      </c>
      <c r="AX12" s="38" t="str">
        <f t="shared" si="23"/>
        <v>J</v>
      </c>
      <c r="AY12" s="38" t="str">
        <f t="shared" si="23"/>
        <v>V</v>
      </c>
      <c r="AZ12" s="38" t="str">
        <f t="shared" si="23"/>
        <v>L</v>
      </c>
      <c r="BA12" s="38" t="str">
        <f t="shared" si="23"/>
        <v>M</v>
      </c>
      <c r="BB12" s="38" t="str">
        <f t="shared" si="23"/>
        <v>M</v>
      </c>
      <c r="BC12" s="38" t="str">
        <f t="shared" si="23"/>
        <v>J</v>
      </c>
      <c r="BD12" s="38" t="str">
        <f t="shared" si="23"/>
        <v>V</v>
      </c>
      <c r="BE12" s="38" t="str">
        <f t="shared" si="23"/>
        <v>L</v>
      </c>
      <c r="BF12" s="38" t="str">
        <f t="shared" si="23"/>
        <v>M</v>
      </c>
      <c r="BG12" s="38" t="str">
        <f t="shared" si="23"/>
        <v>M</v>
      </c>
      <c r="BH12" s="38" t="str">
        <f t="shared" si="23"/>
        <v>J</v>
      </c>
      <c r="BI12" s="38" t="str">
        <f t="shared" si="23"/>
        <v>V</v>
      </c>
      <c r="BJ12" s="38" t="str">
        <f t="shared" si="23"/>
        <v>L</v>
      </c>
      <c r="BK12" s="38" t="str">
        <f t="shared" si="23"/>
        <v>M</v>
      </c>
      <c r="BL12" s="38" t="str">
        <f t="shared" si="23"/>
        <v>M</v>
      </c>
      <c r="BM12" s="38" t="str">
        <f t="shared" si="23"/>
        <v>J</v>
      </c>
      <c r="BN12" s="38" t="str">
        <f t="shared" si="23"/>
        <v>V</v>
      </c>
      <c r="BO12" s="38" t="str">
        <f t="shared" si="23"/>
        <v>L</v>
      </c>
      <c r="BP12" s="38" t="str">
        <f t="shared" si="23"/>
        <v>M</v>
      </c>
      <c r="BQ12" s="38" t="str">
        <f t="shared" si="23"/>
        <v>M</v>
      </c>
      <c r="BR12" s="38" t="str">
        <f t="shared" si="23"/>
        <v>J</v>
      </c>
      <c r="BS12" s="38" t="str">
        <f t="shared" si="23"/>
        <v>V</v>
      </c>
      <c r="BT12" s="38" t="str">
        <f t="shared" si="23"/>
        <v>L</v>
      </c>
      <c r="BU12" s="38" t="str">
        <f t="shared" si="23"/>
        <v>M</v>
      </c>
      <c r="BV12" s="38" t="str">
        <f t="shared" si="23"/>
        <v>M</v>
      </c>
      <c r="BW12" s="38" t="str">
        <f t="shared" si="23"/>
        <v>J</v>
      </c>
      <c r="BX12" s="38" t="str">
        <f t="shared" si="23"/>
        <v>V</v>
      </c>
      <c r="CC12" cm="1">
        <f t="array" aca="1" ref="CC12" ca="1">IF((ISNUMBER(FIND(LOWER('Parametre Gantt'!$A$3), LOWER($B16)))),CELL("couleur",'Parametre Gantt'!$B$3),0)</f>
        <v>0</v>
      </c>
      <c r="CD12">
        <f>IF((ISNUMBER(FIND(LOWER('Parametre Gantt'!$A$3), LOWER($B16)))),1,0)</f>
        <v>0</v>
      </c>
    </row>
    <row r="13" spans="1:82" ht="15.75" customHeight="1" x14ac:dyDescent="0.25">
      <c r="A13" s="41"/>
      <c r="B13" s="37" t="s">
        <v>5</v>
      </c>
      <c r="C13" s="32" t="s">
        <v>1</v>
      </c>
      <c r="D13" s="26"/>
      <c r="E13" s="32" t="s">
        <v>9</v>
      </c>
      <c r="F13" s="51"/>
      <c r="G13" s="33" t="s">
        <v>2</v>
      </c>
      <c r="H13" s="33" t="s">
        <v>3</v>
      </c>
      <c r="I13" s="33" t="s">
        <v>43</v>
      </c>
      <c r="J13" s="20"/>
      <c r="K13" s="35" t="s">
        <v>8</v>
      </c>
      <c r="L13" s="33" t="s">
        <v>4</v>
      </c>
      <c r="M13" s="34" t="s">
        <v>3</v>
      </c>
      <c r="N13" s="19"/>
      <c r="O13" s="35" t="s">
        <v>8</v>
      </c>
      <c r="P13" s="23"/>
      <c r="Q13" s="70">
        <f>WEEKNUM(Q9,11)</f>
        <v>40</v>
      </c>
      <c r="R13" s="71"/>
      <c r="S13" s="71"/>
      <c r="T13" s="71"/>
      <c r="U13" s="71"/>
      <c r="V13" s="70">
        <f>WEEKNUM(V9,11)</f>
        <v>41</v>
      </c>
      <c r="W13" s="71"/>
      <c r="X13" s="71"/>
      <c r="Y13" s="71"/>
      <c r="Z13" s="71"/>
      <c r="AA13" s="70">
        <f t="shared" ref="AA13" si="24">WEEKNUM(AA9,11)</f>
        <v>42</v>
      </c>
      <c r="AB13" s="71"/>
      <c r="AC13" s="71"/>
      <c r="AD13" s="71"/>
      <c r="AE13" s="71"/>
      <c r="AF13" s="70">
        <f t="shared" ref="AF13" si="25">WEEKNUM(AF9,11)</f>
        <v>43</v>
      </c>
      <c r="AG13" s="71"/>
      <c r="AH13" s="71"/>
      <c r="AI13" s="71"/>
      <c r="AJ13" s="71"/>
      <c r="AK13" s="70">
        <f t="shared" ref="AK13" si="26">WEEKNUM(AK9,11)</f>
        <v>44</v>
      </c>
      <c r="AL13" s="71"/>
      <c r="AM13" s="71"/>
      <c r="AN13" s="71"/>
      <c r="AO13" s="71"/>
      <c r="AP13" s="70">
        <f t="shared" ref="AP13" si="27">WEEKNUM(AP9,11)</f>
        <v>45</v>
      </c>
      <c r="AQ13" s="71"/>
      <c r="AR13" s="71"/>
      <c r="AS13" s="71"/>
      <c r="AT13" s="71"/>
      <c r="AU13" s="70">
        <f t="shared" ref="AU13" si="28">WEEKNUM(AU9,11)</f>
        <v>46</v>
      </c>
      <c r="AV13" s="71"/>
      <c r="AW13" s="71"/>
      <c r="AX13" s="71"/>
      <c r="AY13" s="71"/>
      <c r="AZ13" s="70">
        <f t="shared" ref="AZ13" si="29">WEEKNUM(AZ9,11)</f>
        <v>47</v>
      </c>
      <c r="BA13" s="71"/>
      <c r="BB13" s="71"/>
      <c r="BC13" s="71"/>
      <c r="BD13" s="71"/>
      <c r="BE13" s="70">
        <f t="shared" ref="BE13" si="30">WEEKNUM(BE9,11)</f>
        <v>48</v>
      </c>
      <c r="BF13" s="71"/>
      <c r="BG13" s="71"/>
      <c r="BH13" s="71"/>
      <c r="BI13" s="71"/>
      <c r="BJ13" s="70">
        <f t="shared" ref="BJ13" si="31">WEEKNUM(BJ9,11)</f>
        <v>49</v>
      </c>
      <c r="BK13" s="71"/>
      <c r="BL13" s="71"/>
      <c r="BM13" s="71"/>
      <c r="BN13" s="71"/>
      <c r="BO13" s="70">
        <f t="shared" ref="BO13" si="32">WEEKNUM(BO9,11)</f>
        <v>50</v>
      </c>
      <c r="BP13" s="71"/>
      <c r="BQ13" s="71"/>
      <c r="BR13" s="71"/>
      <c r="BS13" s="71"/>
      <c r="BT13" s="70">
        <f t="shared" ref="BT13" si="33">WEEKNUM(BT9,11)</f>
        <v>51</v>
      </c>
      <c r="BU13" s="71"/>
      <c r="BV13" s="71"/>
      <c r="BW13" s="71"/>
      <c r="BX13" s="71"/>
      <c r="CC13" cm="1">
        <f t="array" aca="1" ref="CC13" ca="1">IF((ISNUMBER(FIND(LOWER('Parametre Gantt'!$A$3), LOWER($B17)))),CELL("couleur",'Parametre Gantt'!$B$3),0)</f>
        <v>0</v>
      </c>
      <c r="CD13">
        <f>IF((ISNUMBER(FIND(LOWER('Parametre Gantt'!$A$3), LOWER($B17)))),1,0)</f>
        <v>0</v>
      </c>
    </row>
    <row r="14" spans="1:82" ht="24.95" customHeight="1" x14ac:dyDescent="0.25">
      <c r="A14" s="40">
        <v>1</v>
      </c>
      <c r="B14" s="16" t="s">
        <v>33</v>
      </c>
      <c r="C14" s="17">
        <v>0.5</v>
      </c>
      <c r="D14" s="28">
        <f>IF(E14&lt;&gt;"",_xlfn.XLOOKUP(E14,'Parametre Gantt'!$G$3:$G$13,'Parametre Gantt'!$F$3:$F$13,""),0)</f>
        <v>0</v>
      </c>
      <c r="E14" s="17"/>
      <c r="F14" s="59">
        <f>_xlfn.XLOOKUP(E14,'Parametre Gantt'!$G$3:$G$13,'Parametre Gantt'!$H$3:$H$13,"")</f>
        <v>0</v>
      </c>
      <c r="G14" s="18">
        <v>45568</v>
      </c>
      <c r="H14" s="18">
        <v>45568</v>
      </c>
      <c r="I14" s="97"/>
      <c r="J14" s="21"/>
      <c r="K14" s="36">
        <f t="shared" ref="K14:K19" si="34">IF(LOWER(B14)="formation","/",IF(AND(G14&lt;&gt;"",H14&lt;&gt;""),NETWORKDAYS(G14,H14),""))</f>
        <v>1</v>
      </c>
      <c r="L14" s="18">
        <v>45568</v>
      </c>
      <c r="M14" s="18">
        <v>45568</v>
      </c>
      <c r="N14" s="27"/>
      <c r="O14" s="36">
        <f t="shared" ref="O14:O19" si="35">IF(LOWER(B14)="formation","/",IF(AND(L14&lt;&gt;"",M14&lt;&gt;""),NETWORKDAYS(L14,M14),""))</f>
        <v>1</v>
      </c>
      <c r="P14" s="24"/>
      <c r="Q14" s="4"/>
      <c r="R14" s="4"/>
      <c r="S14" s="4"/>
      <c r="T14" s="4"/>
      <c r="U14" s="4"/>
      <c r="V14" s="4"/>
      <c r="W14" s="4"/>
      <c r="X14" s="4"/>
      <c r="Y14" s="4"/>
      <c r="Z14" s="4"/>
      <c r="AA14" s="4"/>
      <c r="AB14" s="4"/>
      <c r="AC14" s="4"/>
      <c r="AD14" s="4"/>
      <c r="AE14" s="4"/>
      <c r="AF14" s="4"/>
      <c r="AG14" s="4"/>
      <c r="AH14" s="4"/>
      <c r="AI14" s="4"/>
      <c r="AJ14" s="4"/>
      <c r="AK14" s="4"/>
      <c r="AL14" s="4"/>
      <c r="AM14" s="4"/>
      <c r="AN14" s="4"/>
      <c r="AO14" s="4"/>
      <c r="AP14" s="4"/>
      <c r="AQ14" s="4"/>
      <c r="AR14" s="4"/>
      <c r="AS14" s="4"/>
      <c r="AT14" s="4"/>
      <c r="AU14" s="4"/>
      <c r="AV14" s="4"/>
      <c r="AW14" s="4"/>
      <c r="AX14" s="4"/>
      <c r="AY14" s="4"/>
      <c r="AZ14" s="4"/>
      <c r="BA14" s="4"/>
      <c r="BB14" s="4"/>
      <c r="BC14" s="4"/>
      <c r="BD14" s="4"/>
      <c r="BE14" s="4"/>
      <c r="BF14" s="4"/>
      <c r="BG14" s="4"/>
      <c r="BH14" s="4"/>
      <c r="BI14" s="4"/>
      <c r="BJ14" s="4"/>
      <c r="BK14" s="4"/>
      <c r="BL14" s="4"/>
      <c r="BM14" s="4"/>
      <c r="BN14" s="4"/>
      <c r="BO14" s="4"/>
      <c r="BP14" s="4"/>
      <c r="BQ14" s="4"/>
      <c r="BR14" s="4"/>
      <c r="BS14" s="4"/>
      <c r="BT14" s="4"/>
      <c r="BU14" s="4"/>
      <c r="BV14" s="4"/>
      <c r="BW14" s="4"/>
      <c r="BX14" s="4"/>
      <c r="CC14" cm="1">
        <f t="array" aca="1" ref="CC14" ca="1">IF((ISNUMBER(FIND(LOWER('Parametre Gantt'!$A$3), LOWER($B18)))),CELL("couleur",'Parametre Gantt'!$B$3),0)</f>
        <v>0</v>
      </c>
      <c r="CD14">
        <f>IF((ISNUMBER(FIND(LOWER('Parametre Gantt'!$A$3), LOWER($B18)))),1,0)</f>
        <v>0</v>
      </c>
    </row>
    <row r="15" spans="1:82" ht="24.95" customHeight="1" x14ac:dyDescent="0.25">
      <c r="A15" s="40">
        <v>2</v>
      </c>
      <c r="B15" s="16" t="s">
        <v>40</v>
      </c>
      <c r="C15" s="17"/>
      <c r="D15" s="28">
        <f>IF(E15&lt;&gt;"",_xlfn.XLOOKUP(E15,'Parametre Gantt'!$G$3:$G$13,'Parametre Gantt'!$F$3:$F$13,""),0)</f>
        <v>0</v>
      </c>
      <c r="E15" s="17"/>
      <c r="F15" s="59">
        <f>_xlfn.XLOOKUP(E15,'Parametre Gantt'!$G$3:$G$13,'Parametre Gantt'!$H$3:$H$13,"")</f>
        <v>0</v>
      </c>
      <c r="G15" s="18">
        <v>45570</v>
      </c>
      <c r="H15" s="18">
        <v>45573</v>
      </c>
      <c r="I15" s="97">
        <v>0.5</v>
      </c>
      <c r="J15" s="21"/>
      <c r="K15" s="36">
        <f t="shared" si="34"/>
        <v>2</v>
      </c>
      <c r="L15" s="18"/>
      <c r="M15" s="18"/>
      <c r="N15" s="27"/>
      <c r="O15" s="36" t="str">
        <f t="shared" si="35"/>
        <v/>
      </c>
      <c r="P15" s="24"/>
      <c r="Q15" s="4"/>
      <c r="R15" s="4"/>
      <c r="S15" s="4"/>
      <c r="T15" s="4"/>
      <c r="U15" s="4"/>
      <c r="V15" s="4"/>
      <c r="W15" s="4"/>
      <c r="X15" s="4"/>
      <c r="Y15" s="4"/>
      <c r="Z15" s="4"/>
      <c r="AA15" s="4"/>
      <c r="AB15" s="4"/>
      <c r="AC15" s="4"/>
      <c r="AD15" s="4"/>
      <c r="AE15" s="4"/>
      <c r="AF15" s="4"/>
      <c r="AG15" s="4"/>
      <c r="AH15" s="4"/>
      <c r="AI15" s="4"/>
      <c r="AJ15" s="4"/>
      <c r="AK15" s="4"/>
      <c r="AL15" s="4"/>
      <c r="AM15" s="4"/>
      <c r="AN15" s="4"/>
      <c r="AO15" s="4"/>
      <c r="AP15" s="4"/>
      <c r="AQ15" s="4"/>
      <c r="AR15" s="4"/>
      <c r="AS15" s="4"/>
      <c r="AT15" s="4"/>
      <c r="AU15" s="4"/>
      <c r="AV15" s="4"/>
      <c r="AW15" s="4"/>
      <c r="AX15" s="4"/>
      <c r="AY15" s="4"/>
      <c r="AZ15" s="4"/>
      <c r="BA15" s="4"/>
      <c r="BB15" s="4"/>
      <c r="BC15" s="4"/>
      <c r="BD15" s="4"/>
      <c r="BE15" s="4"/>
      <c r="BF15" s="4"/>
      <c r="BG15" s="4"/>
      <c r="BH15" s="4"/>
      <c r="BI15" s="4"/>
      <c r="BJ15" s="4"/>
      <c r="BK15" s="4"/>
      <c r="BL15" s="4"/>
      <c r="BM15" s="4"/>
      <c r="BN15" s="4"/>
      <c r="BO15" s="4"/>
      <c r="BP15" s="4"/>
      <c r="BQ15" s="4"/>
      <c r="BR15" s="4"/>
      <c r="BS15" s="4"/>
      <c r="BT15" s="4"/>
      <c r="BU15" s="4"/>
      <c r="BV15" s="4"/>
      <c r="BW15" s="4"/>
      <c r="BX15" s="4"/>
      <c r="CC15" cm="1">
        <f t="array" aca="1" ref="CC15" ca="1">IF((ISNUMBER(FIND(LOWER('Parametre Gantt'!$A$3), LOWER($B19)))),CELL("couleur",'Parametre Gantt'!$B$3),0)</f>
        <v>0</v>
      </c>
      <c r="CD15">
        <f>IF((ISNUMBER(FIND(LOWER('Parametre Gantt'!$A$3), LOWER($B19)))),1,0)</f>
        <v>0</v>
      </c>
    </row>
    <row r="16" spans="1:82" ht="24.95" customHeight="1" x14ac:dyDescent="0.25">
      <c r="A16" s="40">
        <v>3</v>
      </c>
      <c r="B16" s="16"/>
      <c r="C16" s="17"/>
      <c r="D16" s="28">
        <f>IF(E16&lt;&gt;"",_xlfn.XLOOKUP(E16,'Parametre Gantt'!$G$3:$G$13,'Parametre Gantt'!$F$3:$F$13,""),0)</f>
        <v>0</v>
      </c>
      <c r="E16" s="17"/>
      <c r="F16" s="59">
        <f>_xlfn.XLOOKUP(E16,'Parametre Gantt'!$G$3:$G$13,'Parametre Gantt'!$H$3:$H$13,"")</f>
        <v>0</v>
      </c>
      <c r="G16" s="18"/>
      <c r="H16" s="18"/>
      <c r="I16" s="97"/>
      <c r="J16" s="21"/>
      <c r="K16" s="36" t="str">
        <f t="shared" si="34"/>
        <v/>
      </c>
      <c r="L16" s="18"/>
      <c r="M16" s="18"/>
      <c r="N16" s="27"/>
      <c r="O16" s="36" t="str">
        <f t="shared" si="35"/>
        <v/>
      </c>
      <c r="P16" s="24"/>
      <c r="Q16" s="4"/>
      <c r="R16" s="4"/>
      <c r="S16" s="4"/>
      <c r="T16" s="4"/>
      <c r="U16" s="4"/>
      <c r="V16" s="4"/>
      <c r="W16" s="4"/>
      <c r="X16" s="4"/>
      <c r="Y16" s="4"/>
      <c r="Z16" s="4"/>
      <c r="AA16" s="4"/>
      <c r="AB16" s="4"/>
      <c r="AC16" s="4"/>
      <c r="AD16" s="4"/>
      <c r="AE16" s="4"/>
      <c r="AF16" s="4"/>
      <c r="AG16" s="4"/>
      <c r="AH16" s="4"/>
      <c r="AI16" s="4"/>
      <c r="AJ16" s="4"/>
      <c r="AK16" s="4"/>
      <c r="AL16" s="4"/>
      <c r="AM16" s="4"/>
      <c r="AN16" s="4"/>
      <c r="AO16" s="4"/>
      <c r="AP16" s="4"/>
      <c r="AQ16" s="4"/>
      <c r="AR16" s="4"/>
      <c r="AS16" s="4"/>
      <c r="AT16" s="4"/>
      <c r="AU16" s="4"/>
      <c r="AV16" s="4"/>
      <c r="AW16" s="4"/>
      <c r="AX16" s="4"/>
      <c r="AY16" s="4"/>
      <c r="AZ16" s="4"/>
      <c r="BA16" s="4"/>
      <c r="BB16" s="4"/>
      <c r="BC16" s="4"/>
      <c r="BD16" s="4"/>
      <c r="BE16" s="4"/>
      <c r="BF16" s="4"/>
      <c r="BG16" s="4"/>
      <c r="BH16" s="4"/>
      <c r="BI16" s="4"/>
      <c r="BJ16" s="4"/>
      <c r="BK16" s="4"/>
      <c r="BL16" s="4"/>
      <c r="BM16" s="4"/>
      <c r="BN16" s="4"/>
      <c r="BO16" s="4"/>
      <c r="BP16" s="4"/>
      <c r="BQ16" s="4"/>
      <c r="BR16" s="4"/>
      <c r="BS16" s="4"/>
      <c r="BT16" s="4"/>
      <c r="BU16" s="4"/>
      <c r="BV16" s="4"/>
      <c r="BW16" s="4"/>
      <c r="BX16" s="4"/>
      <c r="CC16" cm="1">
        <f t="array" aca="1" ref="CC16" ca="1">IF((ISNUMBER(FIND(LOWER('Parametre Gantt'!$A$3), LOWER($B20)))),CELL("couleur",'Parametre Gantt'!$B$3),0)</f>
        <v>0</v>
      </c>
      <c r="CD16">
        <f>IF((ISNUMBER(FIND(LOWER('Parametre Gantt'!$A$3), LOWER($B20)))),1,0)</f>
        <v>0</v>
      </c>
    </row>
    <row r="17" spans="1:82" ht="24.95" customHeight="1" x14ac:dyDescent="0.25">
      <c r="A17" s="40">
        <v>4</v>
      </c>
      <c r="B17" s="16"/>
      <c r="C17" s="17"/>
      <c r="D17" s="28">
        <f>IF(E17&lt;&gt;"",_xlfn.XLOOKUP(E17,'Parametre Gantt'!$G$3:$G$13,'Parametre Gantt'!$F$3:$F$13,""),0)</f>
        <v>0</v>
      </c>
      <c r="E17" s="17"/>
      <c r="F17" s="59">
        <f>_xlfn.XLOOKUP(E17,'Parametre Gantt'!$G$3:$G$13,'Parametre Gantt'!$H$3:$H$13,"")</f>
        <v>0</v>
      </c>
      <c r="G17" s="18"/>
      <c r="H17" s="18"/>
      <c r="I17" s="97"/>
      <c r="J17" s="21"/>
      <c r="K17" s="36" t="str">
        <f t="shared" si="34"/>
        <v/>
      </c>
      <c r="L17" s="18"/>
      <c r="M17" s="18"/>
      <c r="N17" s="27"/>
      <c r="O17" s="36" t="str">
        <f t="shared" si="35"/>
        <v/>
      </c>
      <c r="P17" s="24"/>
      <c r="Q17" s="4"/>
      <c r="R17" s="4"/>
      <c r="S17" s="4"/>
      <c r="T17" s="4"/>
      <c r="U17" s="4"/>
      <c r="V17" s="4"/>
      <c r="W17" s="4"/>
      <c r="X17" s="4"/>
      <c r="Y17" s="4"/>
      <c r="Z17" s="4"/>
      <c r="AA17" s="4"/>
      <c r="AB17" s="4"/>
      <c r="AC17" s="4"/>
      <c r="AD17" s="4"/>
      <c r="AE17" s="4"/>
      <c r="AF17" s="4"/>
      <c r="AG17" s="4"/>
      <c r="AH17" s="4"/>
      <c r="AI17" s="4"/>
      <c r="AJ17" s="4"/>
      <c r="AK17" s="4"/>
      <c r="AL17" s="4"/>
      <c r="AM17" s="4"/>
      <c r="AN17" s="4"/>
      <c r="AO17" s="4"/>
      <c r="AP17" s="4"/>
      <c r="AQ17" s="4"/>
      <c r="AR17" s="4"/>
      <c r="AS17" s="4"/>
      <c r="AT17" s="4"/>
      <c r="AU17" s="4"/>
      <c r="AV17" s="4"/>
      <c r="AW17" s="4"/>
      <c r="AX17" s="4"/>
      <c r="AY17" s="4"/>
      <c r="AZ17" s="4"/>
      <c r="BA17" s="4"/>
      <c r="BB17" s="4"/>
      <c r="BC17" s="4"/>
      <c r="BD17" s="4"/>
      <c r="BE17" s="4"/>
      <c r="BF17" s="4"/>
      <c r="BG17" s="4"/>
      <c r="BH17" s="4"/>
      <c r="BI17" s="4"/>
      <c r="BJ17" s="4"/>
      <c r="BK17" s="4"/>
      <c r="BL17" s="4"/>
      <c r="BM17" s="4"/>
      <c r="BN17" s="4"/>
      <c r="BO17" s="4"/>
      <c r="BP17" s="4"/>
      <c r="BQ17" s="4"/>
      <c r="BR17" s="4"/>
      <c r="BS17" s="4"/>
      <c r="BT17" s="4"/>
      <c r="BU17" s="4"/>
      <c r="BV17" s="4"/>
      <c r="BW17" s="4"/>
      <c r="BX17" s="4"/>
      <c r="CC17" cm="1">
        <f t="array" aca="1" ref="CC17" ca="1">IF((ISNUMBER(FIND(LOWER('Parametre Gantt'!$A$3), LOWER($B21)))),CELL("couleur",'Parametre Gantt'!$B$3),0)</f>
        <v>0</v>
      </c>
      <c r="CD17">
        <f>IF((ISNUMBER(FIND(LOWER('Parametre Gantt'!$A$3), LOWER($B21)))),1,0)</f>
        <v>0</v>
      </c>
    </row>
    <row r="18" spans="1:82" ht="24.95" customHeight="1" x14ac:dyDescent="0.25">
      <c r="A18" s="40">
        <v>5</v>
      </c>
      <c r="B18" s="16"/>
      <c r="C18" s="17"/>
      <c r="D18" s="28">
        <f>IF(E18&lt;&gt;"",_xlfn.XLOOKUP(E18,'Parametre Gantt'!$G$3:$G$13,'Parametre Gantt'!$F$3:$F$13,""),0)</f>
        <v>0</v>
      </c>
      <c r="E18" s="17"/>
      <c r="F18" s="59">
        <f>_xlfn.XLOOKUP(E18,'Parametre Gantt'!$G$3:$G$13,'Parametre Gantt'!$H$3:$H$13,"")</f>
        <v>0</v>
      </c>
      <c r="G18" s="18"/>
      <c r="H18" s="18"/>
      <c r="I18" s="97"/>
      <c r="J18" s="21"/>
      <c r="K18" s="36" t="str">
        <f t="shared" si="34"/>
        <v/>
      </c>
      <c r="L18" s="18"/>
      <c r="M18" s="18"/>
      <c r="N18" s="27"/>
      <c r="O18" s="36" t="str">
        <f t="shared" si="35"/>
        <v/>
      </c>
      <c r="P18" s="24"/>
      <c r="Q18" s="4"/>
      <c r="R18" s="4"/>
      <c r="S18" s="4"/>
      <c r="T18" s="4"/>
      <c r="U18" s="4"/>
      <c r="V18" s="4"/>
      <c r="W18" s="4"/>
      <c r="X18" s="4"/>
      <c r="Y18" s="4"/>
      <c r="Z18" s="4"/>
      <c r="AA18" s="4"/>
      <c r="AB18" s="4"/>
      <c r="AC18" s="4"/>
      <c r="AD18" s="4"/>
      <c r="AE18" s="4"/>
      <c r="AF18" s="4"/>
      <c r="AG18" s="4"/>
      <c r="AH18" s="4"/>
      <c r="AI18" s="4"/>
      <c r="AJ18" s="4"/>
      <c r="AK18" s="4"/>
      <c r="AL18" s="4"/>
      <c r="AM18" s="4"/>
      <c r="AN18" s="4"/>
      <c r="AO18" s="4"/>
      <c r="AP18" s="4"/>
      <c r="AQ18" s="4"/>
      <c r="AR18" s="4"/>
      <c r="AS18" s="4"/>
      <c r="AT18" s="4"/>
      <c r="AU18" s="4"/>
      <c r="AV18" s="4"/>
      <c r="AW18" s="4"/>
      <c r="AX18" s="4"/>
      <c r="AY18" s="4"/>
      <c r="AZ18" s="4"/>
      <c r="BA18" s="4"/>
      <c r="BB18" s="4"/>
      <c r="BC18" s="4"/>
      <c r="BD18" s="4"/>
      <c r="BE18" s="4"/>
      <c r="BF18" s="4"/>
      <c r="BG18" s="4"/>
      <c r="BH18" s="4"/>
      <c r="BI18" s="4"/>
      <c r="BJ18" s="4"/>
      <c r="BK18" s="4"/>
      <c r="BL18" s="4"/>
      <c r="BM18" s="4"/>
      <c r="BN18" s="4"/>
      <c r="BO18" s="4"/>
      <c r="BP18" s="4"/>
      <c r="BQ18" s="4"/>
      <c r="BR18" s="4"/>
      <c r="BS18" s="4"/>
      <c r="BT18" s="4"/>
      <c r="BU18" s="4"/>
      <c r="BV18" s="4"/>
      <c r="BW18" s="4"/>
      <c r="BX18" s="4"/>
      <c r="CC18" t="str">
        <f>IF(AND($G22&lt;=Q$9, $H22&gt;=Q$9, ISNUMBER(FIND(LOWER('Parametre Gantt'!$A$3), LOWER($B22)))),'Parametre Gantt'!B11,"")</f>
        <v/>
      </c>
    </row>
    <row r="19" spans="1:82" ht="24.95" customHeight="1" x14ac:dyDescent="0.25">
      <c r="A19" s="40">
        <v>6</v>
      </c>
      <c r="B19" s="16"/>
      <c r="C19" s="17"/>
      <c r="D19" s="28">
        <f>IF(E19&lt;&gt;"",_xlfn.XLOOKUP(E19,'Parametre Gantt'!$G$3:$G$13,'Parametre Gantt'!$F$3:$F$13,""),0)</f>
        <v>0</v>
      </c>
      <c r="E19" s="17"/>
      <c r="F19" s="59">
        <f>_xlfn.XLOOKUP(E19,'Parametre Gantt'!$G$3:$G$13,'Parametre Gantt'!$H$3:$H$13,"")</f>
        <v>0</v>
      </c>
      <c r="G19" s="18"/>
      <c r="H19" s="18"/>
      <c r="I19" s="97"/>
      <c r="J19" s="21"/>
      <c r="K19" s="36" t="str">
        <f t="shared" si="34"/>
        <v/>
      </c>
      <c r="L19" s="18"/>
      <c r="M19" s="18"/>
      <c r="N19" s="27"/>
      <c r="O19" s="36" t="str">
        <f t="shared" si="35"/>
        <v/>
      </c>
      <c r="P19" s="24"/>
      <c r="Q19" s="4"/>
      <c r="R19" s="4"/>
      <c r="S19" s="4"/>
      <c r="T19" s="4"/>
      <c r="U19" s="4"/>
      <c r="V19" s="4"/>
      <c r="W19" s="4"/>
      <c r="X19" s="4"/>
      <c r="Y19" s="4"/>
      <c r="Z19" s="4"/>
      <c r="AA19" s="4"/>
      <c r="AB19" s="4"/>
      <c r="AC19" s="4"/>
      <c r="AD19" s="4"/>
      <c r="AE19" s="4"/>
      <c r="AF19" s="4"/>
      <c r="AG19" s="4"/>
      <c r="AH19" s="4"/>
      <c r="AI19" s="4"/>
      <c r="AJ19" s="4"/>
      <c r="AK19" s="4"/>
      <c r="AL19" s="4"/>
      <c r="AM19" s="4"/>
      <c r="AN19" s="4"/>
      <c r="AO19" s="4"/>
      <c r="AP19" s="4"/>
      <c r="AQ19" s="4"/>
      <c r="AR19" s="4"/>
      <c r="AS19" s="4"/>
      <c r="AT19" s="4"/>
      <c r="AU19" s="4"/>
      <c r="AV19" s="4"/>
      <c r="AW19" s="4"/>
      <c r="AX19" s="4"/>
      <c r="AY19" s="4"/>
      <c r="AZ19" s="4"/>
      <c r="BA19" s="4"/>
      <c r="BB19" s="4"/>
      <c r="BC19" s="4"/>
      <c r="BD19" s="4"/>
      <c r="BE19" s="4"/>
      <c r="BF19" s="4"/>
      <c r="BG19" s="4"/>
      <c r="BH19" s="4"/>
      <c r="BI19" s="4"/>
      <c r="BJ19" s="4"/>
      <c r="BK19" s="4"/>
      <c r="BL19" s="4"/>
      <c r="BM19" s="4"/>
      <c r="BN19" s="4"/>
      <c r="BO19" s="4"/>
      <c r="BP19" s="4"/>
      <c r="BQ19" s="4"/>
      <c r="BR19" s="4"/>
      <c r="BS19" s="4"/>
      <c r="BT19" s="4"/>
      <c r="BU19" s="4"/>
      <c r="BV19" s="4"/>
      <c r="BW19" s="4"/>
      <c r="BX19" s="4"/>
      <c r="CC19" t="str">
        <f>IF(AND($G21&lt;=Q$9, $H21&gt;=Q$9, ISNUMBER(FIND(LOWER('Parametre Gantt'!$A$3), LOWER($B21)))),'Parametre Gantt'!B10,"")</f>
        <v/>
      </c>
    </row>
    <row r="20" spans="1:82" ht="24.95" customHeight="1" x14ac:dyDescent="0.25">
      <c r="A20" s="40">
        <v>7</v>
      </c>
      <c r="B20" s="16"/>
      <c r="C20" s="17"/>
      <c r="D20" s="28">
        <f>IF(E20&lt;&gt;"",_xlfn.XLOOKUP(E20,'Parametre Gantt'!$G$3:$G$13,'Parametre Gantt'!$F$3:$F$13,""),0)</f>
        <v>0</v>
      </c>
      <c r="E20" s="17"/>
      <c r="F20" s="59">
        <f>_xlfn.XLOOKUP(E20,'Parametre Gantt'!$G$3:$G$13,'Parametre Gantt'!$H$3:$H$13,"")</f>
        <v>0</v>
      </c>
      <c r="G20" s="18"/>
      <c r="H20" s="18"/>
      <c r="I20" s="97"/>
      <c r="J20" s="21"/>
      <c r="K20" s="36" t="str">
        <f>IF(LOWER(B20)="formation","/",IF(AND(G20&lt;&gt;"",H20&lt;&gt;""),NETWORKDAYS(G20,H20),""))</f>
        <v/>
      </c>
      <c r="L20" s="18"/>
      <c r="M20" s="18"/>
      <c r="N20" s="27"/>
      <c r="O20" s="36" t="str">
        <f>IF(LOWER(B20)="formation","/",IF(AND(L20&lt;&gt;"",M20&lt;&gt;""),NETWORKDAYS(L20,M20),""))</f>
        <v/>
      </c>
      <c r="P20" s="24"/>
      <c r="Q20" s="4"/>
      <c r="R20" s="4"/>
      <c r="S20" s="4"/>
      <c r="T20" s="4"/>
      <c r="U20" s="4"/>
      <c r="V20" s="4"/>
      <c r="W20" s="4"/>
      <c r="X20" s="4"/>
      <c r="Y20" s="4"/>
      <c r="Z20" s="4"/>
      <c r="AA20" s="4"/>
      <c r="AB20" s="4"/>
      <c r="AC20" s="4"/>
      <c r="AD20" s="4"/>
      <c r="AE20" s="4"/>
      <c r="AF20" s="4"/>
      <c r="AG20" s="4"/>
      <c r="AH20" s="4"/>
      <c r="AI20" s="4"/>
      <c r="AJ20" s="4"/>
      <c r="AK20" s="4"/>
      <c r="AL20" s="4"/>
      <c r="AM20" s="4"/>
      <c r="AN20" s="4"/>
      <c r="AO20" s="4"/>
      <c r="AP20" s="4"/>
      <c r="AQ20" s="4"/>
      <c r="AR20" s="4"/>
      <c r="AS20" s="4"/>
      <c r="AT20" s="4"/>
      <c r="AU20" s="4"/>
      <c r="AV20" s="4"/>
      <c r="AW20" s="4"/>
      <c r="AX20" s="4"/>
      <c r="AY20" s="4"/>
      <c r="AZ20" s="4"/>
      <c r="BA20" s="4"/>
      <c r="BB20" s="4"/>
      <c r="BC20" s="4"/>
      <c r="BD20" s="4"/>
      <c r="BE20" s="4"/>
      <c r="BF20" s="4"/>
      <c r="BG20" s="4"/>
      <c r="BH20" s="4"/>
      <c r="BI20" s="4"/>
      <c r="BJ20" s="4"/>
      <c r="BK20" s="4"/>
      <c r="BL20" s="4"/>
      <c r="BM20" s="4"/>
      <c r="BN20" s="4"/>
      <c r="BO20" s="4"/>
      <c r="BP20" s="4"/>
      <c r="BQ20" s="4"/>
      <c r="BR20" s="4"/>
      <c r="BS20" s="4"/>
      <c r="BT20" s="4"/>
      <c r="BU20" s="4"/>
      <c r="BV20" s="4"/>
      <c r="BW20" s="4"/>
      <c r="BX20" s="4"/>
      <c r="CC20" t="str">
        <f>IF(AND($G22&lt;=Q$9, $H22&gt;=Q$9, ISNUMBER(FIND(LOWER('Parametre Gantt'!$A$3), LOWER($B22)))),'Parametre Gantt'!B11,"")</f>
        <v/>
      </c>
    </row>
    <row r="21" spans="1:82" ht="24.95" customHeight="1" x14ac:dyDescent="0.25">
      <c r="A21" s="40">
        <v>8</v>
      </c>
      <c r="B21" s="16"/>
      <c r="C21" s="17"/>
      <c r="D21" s="28">
        <f>IF(E21&lt;&gt;"",_xlfn.XLOOKUP(E21,'Parametre Gantt'!$G$3:$G$13,'Parametre Gantt'!$F$3:$F$13,""),0)</f>
        <v>0</v>
      </c>
      <c r="E21" s="17"/>
      <c r="F21" s="59">
        <f>_xlfn.XLOOKUP(E21,'Parametre Gantt'!$G$3:$G$13,'Parametre Gantt'!$H$3:$H$13,"")</f>
        <v>0</v>
      </c>
      <c r="G21" s="18"/>
      <c r="H21" s="18"/>
      <c r="I21" s="97"/>
      <c r="J21" s="21"/>
      <c r="K21" s="36" t="str">
        <f t="shared" ref="K21:K57" si="36">IF(LOWER(B21)="formation","/",IF(AND(G21&lt;&gt;"",H21&lt;&gt;""),NETWORKDAYS(G21,H21),""))</f>
        <v/>
      </c>
      <c r="L21" s="18"/>
      <c r="M21" s="18"/>
      <c r="N21" s="27"/>
      <c r="O21" s="36" t="str">
        <f t="shared" ref="O21:O57" si="37">IF(LOWER(B21)="formation","/",IF(AND(L21&lt;&gt;"",M21&lt;&gt;""),NETWORKDAYS(L21,M21),""))</f>
        <v/>
      </c>
      <c r="P21" s="24"/>
      <c r="Q21" s="4"/>
      <c r="R21" s="4"/>
      <c r="S21" s="4"/>
      <c r="T21" s="4"/>
      <c r="U21" s="4"/>
      <c r="V21" s="4"/>
      <c r="W21" s="4"/>
      <c r="X21" s="4"/>
      <c r="Y21" s="4"/>
      <c r="Z21" s="4"/>
      <c r="AA21" s="4"/>
      <c r="AB21" s="4"/>
      <c r="AC21" s="4"/>
      <c r="AD21" s="4"/>
      <c r="AE21" s="4"/>
      <c r="AF21" s="4"/>
      <c r="AG21" s="4"/>
      <c r="AH21" s="4"/>
      <c r="AI21" s="4"/>
      <c r="AJ21" s="4"/>
      <c r="AK21" s="4"/>
      <c r="AL21" s="4"/>
      <c r="AM21" s="4"/>
      <c r="AN21" s="4"/>
      <c r="AO21" s="4"/>
      <c r="AP21" s="4"/>
      <c r="AQ21" s="4"/>
      <c r="AR21" s="4"/>
      <c r="AS21" s="4"/>
      <c r="AT21" s="4"/>
      <c r="AU21" s="4"/>
      <c r="AV21" s="4"/>
      <c r="AW21" s="4"/>
      <c r="AX21" s="4"/>
      <c r="AY21" s="4"/>
      <c r="AZ21" s="4"/>
      <c r="BA21" s="4"/>
      <c r="BB21" s="4"/>
      <c r="BC21" s="4"/>
      <c r="BD21" s="4"/>
      <c r="BE21" s="4"/>
      <c r="BF21" s="4"/>
      <c r="BG21" s="4"/>
      <c r="BH21" s="4"/>
      <c r="BI21" s="4"/>
      <c r="BJ21" s="4"/>
      <c r="BK21" s="4"/>
      <c r="BL21" s="4"/>
      <c r="BM21" s="4"/>
      <c r="BN21" s="4"/>
      <c r="BO21" s="4"/>
      <c r="BP21" s="4"/>
      <c r="BQ21" s="4"/>
      <c r="BR21" s="4"/>
      <c r="BS21" s="4"/>
      <c r="BT21" s="4"/>
      <c r="BU21" s="4"/>
      <c r="BV21" s="4"/>
      <c r="BW21" s="4"/>
      <c r="BX21" s="4"/>
      <c r="CC21" t="str">
        <f>IF(AND($G24&lt;=Q$9, $H24&gt;=Q$9, ISNUMBER(FIND(LOWER('Parametre Gantt'!$A$3), LOWER($B24)))),'Parametre Gantt'!B12,"")</f>
        <v/>
      </c>
    </row>
    <row r="22" spans="1:82" ht="24.95" customHeight="1" x14ac:dyDescent="0.25">
      <c r="A22" s="40">
        <v>9</v>
      </c>
      <c r="B22" s="16"/>
      <c r="C22" s="17"/>
      <c r="D22" s="28">
        <f>IF(E22&lt;&gt;"",_xlfn.XLOOKUP(E22,'Parametre Gantt'!$G$3:$G$13,'Parametre Gantt'!$F$3:$F$13,""),0)</f>
        <v>0</v>
      </c>
      <c r="E22" s="17"/>
      <c r="F22" s="59">
        <f>_xlfn.XLOOKUP(E22,'Parametre Gantt'!$G$3:$G$13,'Parametre Gantt'!$H$3:$H$13,"")</f>
        <v>0</v>
      </c>
      <c r="G22" s="18"/>
      <c r="H22" s="18"/>
      <c r="I22" s="97"/>
      <c r="J22" s="21"/>
      <c r="K22" s="36" t="str">
        <f t="shared" si="36"/>
        <v/>
      </c>
      <c r="L22" s="18"/>
      <c r="M22" s="18"/>
      <c r="N22" s="27"/>
      <c r="O22" s="36" t="str">
        <f t="shared" si="37"/>
        <v/>
      </c>
      <c r="P22" s="24"/>
      <c r="Q22" s="4"/>
      <c r="R22" s="4"/>
      <c r="S22" s="4"/>
      <c r="T22" s="4"/>
      <c r="U22" s="4"/>
      <c r="V22" s="4"/>
      <c r="W22" s="4"/>
      <c r="X22" s="4"/>
      <c r="Y22" s="4"/>
      <c r="Z22" s="4"/>
      <c r="AA22" s="4"/>
      <c r="AB22" s="4"/>
      <c r="AC22" s="4"/>
      <c r="AD22" s="4"/>
      <c r="AE22" s="4"/>
      <c r="AF22" s="4"/>
      <c r="AG22" s="4"/>
      <c r="AH22" s="4"/>
      <c r="AI22" s="4"/>
      <c r="AJ22" s="4"/>
      <c r="AK22" s="4"/>
      <c r="AL22" s="4"/>
      <c r="AM22" s="4"/>
      <c r="AN22" s="4"/>
      <c r="AO22" s="4"/>
      <c r="AP22" s="4"/>
      <c r="AQ22" s="4"/>
      <c r="AR22" s="4"/>
      <c r="AS22" s="4"/>
      <c r="AT22" s="4"/>
      <c r="AU22" s="4"/>
      <c r="AV22" s="4"/>
      <c r="AW22" s="4"/>
      <c r="AX22" s="4"/>
      <c r="AY22" s="4"/>
      <c r="AZ22" s="4"/>
      <c r="BA22" s="4"/>
      <c r="BB22" s="4"/>
      <c r="BC22" s="4"/>
      <c r="BD22" s="4"/>
      <c r="BE22" s="4"/>
      <c r="BF22" s="4"/>
      <c r="BG22" s="4"/>
      <c r="BH22" s="4"/>
      <c r="BI22" s="4"/>
      <c r="BJ22" s="4"/>
      <c r="BK22" s="4"/>
      <c r="BL22" s="4"/>
      <c r="BM22" s="4"/>
      <c r="BN22" s="4"/>
      <c r="BO22" s="4"/>
      <c r="BP22" s="4"/>
      <c r="BQ22" s="4"/>
      <c r="BR22" s="4"/>
      <c r="BS22" s="4"/>
      <c r="BT22" s="4"/>
      <c r="BU22" s="4"/>
      <c r="BV22" s="4"/>
      <c r="BW22" s="4"/>
      <c r="BX22" s="4"/>
      <c r="CC22" t="str">
        <f>IF(AND($G26&lt;=Q$9, $H26&gt;=Q$9, ISNUMBER(FIND(LOWER('Parametre Gantt'!$A$3), LOWER($B26)))),'Parametre Gantt'!B13,"")</f>
        <v/>
      </c>
    </row>
    <row r="23" spans="1:82" ht="24.95" customHeight="1" x14ac:dyDescent="0.25">
      <c r="A23" s="40">
        <v>10</v>
      </c>
      <c r="B23" s="16"/>
      <c r="C23" s="17"/>
      <c r="D23" s="28">
        <f>IF(E23&lt;&gt;"",_xlfn.XLOOKUP(E23,'Parametre Gantt'!$G$3:$G$13,'Parametre Gantt'!$F$3:$F$13,""),0)</f>
        <v>0</v>
      </c>
      <c r="E23" s="17"/>
      <c r="F23" s="59">
        <f>_xlfn.XLOOKUP(E23,'Parametre Gantt'!$G$3:$G$13,'Parametre Gantt'!$H$3:$H$13,"")</f>
        <v>0</v>
      </c>
      <c r="G23" s="18"/>
      <c r="H23" s="18"/>
      <c r="I23" s="97"/>
      <c r="J23" s="21"/>
      <c r="K23" s="36" t="str">
        <f t="shared" si="36"/>
        <v/>
      </c>
      <c r="L23" s="18"/>
      <c r="M23" s="18"/>
      <c r="N23" s="27"/>
      <c r="O23" s="36" t="str">
        <f t="shared" si="37"/>
        <v/>
      </c>
      <c r="P23" s="24"/>
      <c r="Q23" s="4"/>
      <c r="R23" s="4"/>
      <c r="S23" s="4"/>
      <c r="T23" s="4"/>
      <c r="U23" s="4"/>
      <c r="V23" s="4"/>
      <c r="W23" s="4"/>
      <c r="X23" s="4"/>
      <c r="Y23" s="4"/>
      <c r="Z23" s="4"/>
      <c r="AA23" s="4"/>
      <c r="AB23" s="4"/>
      <c r="AC23" s="4"/>
      <c r="AD23" s="4"/>
      <c r="AE23" s="4"/>
      <c r="AF23" s="4"/>
      <c r="AG23" s="4"/>
      <c r="AH23" s="4"/>
      <c r="AI23" s="4"/>
      <c r="AJ23" s="4"/>
      <c r="AK23" s="4"/>
      <c r="AL23" s="4"/>
      <c r="AM23" s="4"/>
      <c r="AN23" s="4"/>
      <c r="AO23" s="4"/>
      <c r="AP23" s="4"/>
      <c r="AQ23" s="4"/>
      <c r="AR23" s="4"/>
      <c r="AS23" s="4"/>
      <c r="AT23" s="4"/>
      <c r="AU23" s="4"/>
      <c r="AV23" s="4"/>
      <c r="AW23" s="4"/>
      <c r="AX23" s="4"/>
      <c r="AY23" s="4"/>
      <c r="AZ23" s="4"/>
      <c r="BA23" s="4"/>
      <c r="BB23" s="4"/>
      <c r="BC23" s="4"/>
      <c r="BD23" s="4"/>
      <c r="BE23" s="4"/>
      <c r="BF23" s="4"/>
      <c r="BG23" s="4"/>
      <c r="BH23" s="4"/>
      <c r="BI23" s="4"/>
      <c r="BJ23" s="4"/>
      <c r="BK23" s="4"/>
      <c r="BL23" s="4"/>
      <c r="BM23" s="4"/>
      <c r="BN23" s="4"/>
      <c r="BO23" s="4"/>
      <c r="BP23" s="4"/>
      <c r="BQ23" s="4"/>
      <c r="BR23" s="4"/>
      <c r="BS23" s="4"/>
      <c r="BT23" s="4"/>
      <c r="BU23" s="4"/>
      <c r="BV23" s="4"/>
      <c r="BW23" s="4"/>
      <c r="BX23" s="4"/>
    </row>
    <row r="24" spans="1:82" ht="24.95" customHeight="1" x14ac:dyDescent="0.25">
      <c r="A24" s="40">
        <v>11</v>
      </c>
      <c r="B24" s="16"/>
      <c r="C24" s="17"/>
      <c r="D24" s="28">
        <f>IF(E24&lt;&gt;"",_xlfn.XLOOKUP(E24,'Parametre Gantt'!$G$3:$G$13,'Parametre Gantt'!$F$3:$F$13,""),0)</f>
        <v>0</v>
      </c>
      <c r="E24" s="17"/>
      <c r="F24" s="59">
        <f>_xlfn.XLOOKUP(E24,'Parametre Gantt'!$G$3:$G$13,'Parametre Gantt'!$H$3:$H$13,"")</f>
        <v>0</v>
      </c>
      <c r="G24" s="18"/>
      <c r="H24" s="18"/>
      <c r="I24" s="97"/>
      <c r="J24" s="21"/>
      <c r="K24" s="36" t="str">
        <f t="shared" si="36"/>
        <v/>
      </c>
      <c r="L24" s="18"/>
      <c r="M24" s="18"/>
      <c r="N24" s="27"/>
      <c r="O24" s="36" t="str">
        <f t="shared" si="37"/>
        <v/>
      </c>
      <c r="P24" s="24"/>
      <c r="Q24" s="4"/>
      <c r="R24" s="4"/>
      <c r="S24" s="4"/>
      <c r="T24" s="4"/>
      <c r="U24" s="4"/>
      <c r="V24" s="4"/>
      <c r="W24" s="4"/>
      <c r="X24" s="4"/>
      <c r="Y24" s="4"/>
      <c r="Z24" s="4"/>
      <c r="AA24" s="4"/>
      <c r="AB24" s="4"/>
      <c r="AC24" s="4"/>
      <c r="AD24" s="4"/>
      <c r="AE24" s="4"/>
      <c r="AF24" s="4"/>
      <c r="AG24" s="4"/>
      <c r="AH24" s="4"/>
      <c r="AI24" s="4"/>
      <c r="AJ24" s="4"/>
      <c r="AK24" s="4"/>
      <c r="AL24" s="4"/>
      <c r="AM24" s="4"/>
      <c r="AN24" s="4"/>
      <c r="AO24" s="4"/>
      <c r="AP24" s="4"/>
      <c r="AQ24" s="4"/>
      <c r="AR24" s="4"/>
      <c r="AS24" s="4"/>
      <c r="AT24" s="4"/>
      <c r="AU24" s="4"/>
      <c r="AV24" s="4"/>
      <c r="AW24" s="4"/>
      <c r="AX24" s="4"/>
      <c r="AY24" s="4"/>
      <c r="AZ24" s="4"/>
      <c r="BA24" s="4"/>
      <c r="BB24" s="4"/>
      <c r="BC24" s="4"/>
      <c r="BD24" s="4"/>
      <c r="BE24" s="4"/>
      <c r="BF24" s="4"/>
      <c r="BG24" s="4"/>
      <c r="BH24" s="4"/>
      <c r="BI24" s="4"/>
      <c r="BJ24" s="4"/>
      <c r="BK24" s="4"/>
      <c r="BL24" s="4"/>
      <c r="BM24" s="4"/>
      <c r="BN24" s="4"/>
      <c r="BO24" s="4"/>
      <c r="BP24" s="4"/>
      <c r="BQ24" s="4"/>
      <c r="BR24" s="4"/>
      <c r="BS24" s="4"/>
      <c r="BT24" s="4"/>
      <c r="BU24" s="4"/>
      <c r="BV24" s="4"/>
      <c r="BW24" s="4"/>
      <c r="BX24" s="4"/>
      <c r="CC24" t="str">
        <f>IF(AND($G27&lt;=Q$9, $H27&gt;=Q$9, ISNUMBER(FIND(LOWER('Parametre Gantt'!$A$3), LOWER($B27)))),'Parametre Gantt'!B14,"")</f>
        <v/>
      </c>
    </row>
    <row r="25" spans="1:82" ht="24.95" customHeight="1" x14ac:dyDescent="0.25">
      <c r="A25" s="40">
        <v>12</v>
      </c>
      <c r="B25" s="16"/>
      <c r="C25" s="17"/>
      <c r="D25" s="28">
        <f>IF(E25&lt;&gt;"",_xlfn.XLOOKUP(E25,'Parametre Gantt'!$G$3:$G$13,'Parametre Gantt'!$F$3:$F$13,""),0)</f>
        <v>0</v>
      </c>
      <c r="E25" s="17"/>
      <c r="F25" s="59">
        <f>_xlfn.XLOOKUP(E25,'Parametre Gantt'!$G$3:$G$13,'Parametre Gantt'!$H$3:$H$13,"")</f>
        <v>0</v>
      </c>
      <c r="G25" s="18"/>
      <c r="H25" s="18"/>
      <c r="I25" s="97"/>
      <c r="J25" s="21"/>
      <c r="K25" s="36" t="str">
        <f t="shared" si="36"/>
        <v/>
      </c>
      <c r="L25" s="18"/>
      <c r="M25" s="18"/>
      <c r="N25" s="27"/>
      <c r="O25" s="36" t="str">
        <f t="shared" si="37"/>
        <v/>
      </c>
      <c r="P25" s="24"/>
      <c r="Q25" s="4"/>
      <c r="R25" s="4"/>
      <c r="S25" s="4"/>
      <c r="T25" s="4"/>
      <c r="U25" s="4"/>
      <c r="V25" s="4"/>
      <c r="W25" s="4"/>
      <c r="X25" s="4"/>
      <c r="Y25" s="4"/>
      <c r="Z25" s="4"/>
      <c r="AA25" s="4"/>
      <c r="AB25" s="4"/>
      <c r="AC25" s="4"/>
      <c r="AD25" s="4"/>
      <c r="AE25" s="4"/>
      <c r="AF25" s="4"/>
      <c r="AG25" s="4"/>
      <c r="AH25" s="4"/>
      <c r="AI25" s="4"/>
      <c r="AJ25" s="4"/>
      <c r="AK25" s="4"/>
      <c r="AL25" s="4"/>
      <c r="AM25" s="4"/>
      <c r="AN25" s="4"/>
      <c r="AO25" s="4"/>
      <c r="AP25" s="4"/>
      <c r="AQ25" s="4"/>
      <c r="AR25" s="4"/>
      <c r="AS25" s="4"/>
      <c r="AT25" s="4"/>
      <c r="AU25" s="4"/>
      <c r="AV25" s="4"/>
      <c r="AW25" s="4"/>
      <c r="AX25" s="4"/>
      <c r="AY25" s="4"/>
      <c r="AZ25" s="4"/>
      <c r="BA25" s="4"/>
      <c r="BB25" s="4"/>
      <c r="BC25" s="4"/>
      <c r="BD25" s="4"/>
      <c r="BE25" s="4"/>
      <c r="BF25" s="4"/>
      <c r="BG25" s="4"/>
      <c r="BH25" s="4"/>
      <c r="BI25" s="4"/>
      <c r="BJ25" s="4"/>
      <c r="BK25" s="4"/>
      <c r="BL25" s="4"/>
      <c r="BM25" s="4"/>
      <c r="BN25" s="4"/>
      <c r="BO25" s="4"/>
      <c r="BP25" s="4"/>
      <c r="BQ25" s="4"/>
      <c r="BR25" s="4"/>
      <c r="BS25" s="4"/>
      <c r="BT25" s="4"/>
      <c r="BU25" s="4"/>
      <c r="BV25" s="4"/>
      <c r="BW25" s="4"/>
      <c r="BX25" s="4"/>
    </row>
    <row r="26" spans="1:82" ht="24.95" customHeight="1" x14ac:dyDescent="0.25">
      <c r="A26" s="40">
        <v>13</v>
      </c>
      <c r="B26" s="16"/>
      <c r="C26" s="17"/>
      <c r="D26" s="28">
        <f>IF(E26&lt;&gt;"",_xlfn.XLOOKUP(E26,'Parametre Gantt'!$G$3:$G$13,'Parametre Gantt'!$F$3:$F$13,""),0)</f>
        <v>0</v>
      </c>
      <c r="E26" s="17"/>
      <c r="F26" s="59">
        <f>_xlfn.XLOOKUP(E26,'Parametre Gantt'!$G$3:$G$13,'Parametre Gantt'!$H$3:$H$13,"")</f>
        <v>0</v>
      </c>
      <c r="G26" s="18"/>
      <c r="H26" s="18"/>
      <c r="I26" s="97"/>
      <c r="J26" s="21"/>
      <c r="K26" s="36" t="str">
        <f t="shared" si="36"/>
        <v/>
      </c>
      <c r="L26" s="18"/>
      <c r="M26" s="18"/>
      <c r="N26" s="27"/>
      <c r="O26" s="36" t="str">
        <f t="shared" si="37"/>
        <v/>
      </c>
      <c r="P26" s="24"/>
      <c r="Q26" s="4"/>
      <c r="R26" s="4"/>
      <c r="S26" s="4"/>
      <c r="T26" s="4"/>
      <c r="U26" s="4"/>
      <c r="V26" s="4"/>
      <c r="W26" s="4"/>
      <c r="X26" s="4"/>
      <c r="Y26" s="4"/>
      <c r="Z26" s="4"/>
      <c r="AA26" s="4"/>
      <c r="AB26" s="4"/>
      <c r="AC26" s="4"/>
      <c r="AD26" s="4"/>
      <c r="AE26" s="4"/>
      <c r="AF26" s="4"/>
      <c r="AG26" s="4"/>
      <c r="AH26" s="4"/>
      <c r="AI26" s="4"/>
      <c r="AJ26" s="4"/>
      <c r="AK26" s="4"/>
      <c r="AL26" s="4"/>
      <c r="AM26" s="4"/>
      <c r="AN26" s="4"/>
      <c r="AO26" s="4"/>
      <c r="AP26" s="4"/>
      <c r="AQ26" s="4"/>
      <c r="AR26" s="4"/>
      <c r="AS26" s="4"/>
      <c r="AT26" s="4"/>
      <c r="AU26" s="4"/>
      <c r="AV26" s="4"/>
      <c r="AW26" s="4"/>
      <c r="AX26" s="4"/>
      <c r="AY26" s="4"/>
      <c r="AZ26" s="4"/>
      <c r="BA26" s="4"/>
      <c r="BB26" s="4"/>
      <c r="BC26" s="4"/>
      <c r="BD26" s="4"/>
      <c r="BE26" s="4"/>
      <c r="BF26" s="4"/>
      <c r="BG26" s="4"/>
      <c r="BH26" s="4"/>
      <c r="BI26" s="4"/>
      <c r="BJ26" s="4"/>
      <c r="BK26" s="4"/>
      <c r="BL26" s="4"/>
      <c r="BM26" s="4"/>
      <c r="BN26" s="4"/>
      <c r="BO26" s="4"/>
      <c r="BP26" s="4"/>
      <c r="BQ26" s="4"/>
      <c r="BR26" s="4"/>
      <c r="BS26" s="4"/>
      <c r="BT26" s="4"/>
      <c r="BU26" s="4"/>
      <c r="BV26" s="4"/>
      <c r="BW26" s="4"/>
      <c r="BX26" s="4"/>
      <c r="CC26" t="str">
        <f>IF(AND($G30&lt;=Q$9, $H30&gt;=Q$9, ISNUMBER(FIND(LOWER('Parametre Gantt'!$A$3), LOWER($B30)))),'Parametre Gantt'!B15,"")</f>
        <v/>
      </c>
    </row>
    <row r="27" spans="1:82" ht="24.95" customHeight="1" x14ac:dyDescent="0.25">
      <c r="A27" s="40">
        <v>14</v>
      </c>
      <c r="B27" s="16"/>
      <c r="C27" s="17"/>
      <c r="D27" s="28">
        <f>IF(E27&lt;&gt;"",_xlfn.XLOOKUP(E27,'Parametre Gantt'!$G$3:$G$13,'Parametre Gantt'!$F$3:$F$13,""),0)</f>
        <v>0</v>
      </c>
      <c r="E27" s="17"/>
      <c r="F27" s="59">
        <f>_xlfn.XLOOKUP(E27,'Parametre Gantt'!$G$3:$G$13,'Parametre Gantt'!$H$3:$H$13,"")</f>
        <v>0</v>
      </c>
      <c r="G27" s="18"/>
      <c r="H27" s="18"/>
      <c r="I27" s="97"/>
      <c r="J27" s="21"/>
      <c r="K27" s="36" t="str">
        <f t="shared" si="36"/>
        <v/>
      </c>
      <c r="L27" s="18"/>
      <c r="M27" s="18"/>
      <c r="N27" s="27"/>
      <c r="O27" s="36" t="str">
        <f t="shared" si="37"/>
        <v/>
      </c>
      <c r="P27" s="24"/>
      <c r="Q27" s="4"/>
      <c r="R27" s="4"/>
      <c r="S27" s="4"/>
      <c r="T27" s="4"/>
      <c r="U27" s="4"/>
      <c r="V27" s="4"/>
      <c r="W27" s="4"/>
      <c r="X27" s="4"/>
      <c r="Y27" s="4"/>
      <c r="Z27" s="4"/>
      <c r="AA27" s="4"/>
      <c r="AB27" s="4"/>
      <c r="AC27" s="4"/>
      <c r="AD27" s="4"/>
      <c r="AE27" s="4"/>
      <c r="AF27" s="4"/>
      <c r="AG27" s="4"/>
      <c r="AH27" s="4"/>
      <c r="AI27" s="4"/>
      <c r="AJ27" s="4"/>
      <c r="AK27" s="4"/>
      <c r="AL27" s="4"/>
      <c r="AM27" s="4"/>
      <c r="AN27" s="4"/>
      <c r="AO27" s="4"/>
      <c r="AP27" s="4"/>
      <c r="AQ27" s="4"/>
      <c r="AR27" s="4"/>
      <c r="AS27" s="4"/>
      <c r="AT27" s="4"/>
      <c r="AU27" s="4"/>
      <c r="AV27" s="4"/>
      <c r="AW27" s="4"/>
      <c r="AX27" s="4"/>
      <c r="AY27" s="4"/>
      <c r="AZ27" s="4"/>
      <c r="BA27" s="4"/>
      <c r="BB27" s="4"/>
      <c r="BC27" s="4"/>
      <c r="BD27" s="4"/>
      <c r="BE27" s="4"/>
      <c r="BF27" s="4"/>
      <c r="BG27" s="4"/>
      <c r="BH27" s="4"/>
      <c r="BI27" s="4"/>
      <c r="BJ27" s="4"/>
      <c r="BK27" s="4"/>
      <c r="BL27" s="4"/>
      <c r="BM27" s="4"/>
      <c r="BN27" s="4"/>
      <c r="BO27" s="4"/>
      <c r="BP27" s="4"/>
      <c r="BQ27" s="4"/>
      <c r="BR27" s="4"/>
      <c r="BS27" s="4"/>
      <c r="BT27" s="4"/>
      <c r="BU27" s="4"/>
      <c r="BV27" s="4"/>
      <c r="BW27" s="4"/>
      <c r="BX27" s="4"/>
      <c r="CC27" t="str">
        <f>IF(AND($G31&lt;=Q$9, $H31&gt;=Q$9, ISNUMBER(FIND(LOWER('Parametre Gantt'!$A$3), LOWER($B31)))),'Parametre Gantt'!B16,"")</f>
        <v/>
      </c>
    </row>
    <row r="28" spans="1:82" ht="24.95" customHeight="1" x14ac:dyDescent="0.25">
      <c r="A28" s="40">
        <v>15</v>
      </c>
      <c r="B28" s="16"/>
      <c r="C28" s="17"/>
      <c r="D28" s="28">
        <f>IF(E28&lt;&gt;"",_xlfn.XLOOKUP(E28,'Parametre Gantt'!$G$3:$G$13,'Parametre Gantt'!$F$3:$F$13,""),0)</f>
        <v>0</v>
      </c>
      <c r="E28" s="17"/>
      <c r="F28" s="59">
        <f>_xlfn.XLOOKUP(E28,'Parametre Gantt'!$G$3:$G$13,'Parametre Gantt'!$H$3:$H$13,"")</f>
        <v>0</v>
      </c>
      <c r="G28" s="18"/>
      <c r="H28" s="18"/>
      <c r="I28" s="97"/>
      <c r="J28" s="21"/>
      <c r="K28" s="36" t="str">
        <f t="shared" si="36"/>
        <v/>
      </c>
      <c r="L28" s="18"/>
      <c r="M28" s="18"/>
      <c r="N28" s="27"/>
      <c r="O28" s="36" t="str">
        <f t="shared" si="37"/>
        <v/>
      </c>
      <c r="P28" s="24"/>
      <c r="Q28" s="4"/>
      <c r="R28" s="4"/>
      <c r="S28" s="4"/>
      <c r="T28" s="4"/>
      <c r="U28" s="4"/>
      <c r="V28" s="4"/>
      <c r="W28" s="4"/>
      <c r="X28" s="4"/>
      <c r="Y28" s="4"/>
      <c r="Z28" s="4"/>
      <c r="AA28" s="4"/>
      <c r="AB28" s="4"/>
      <c r="AC28" s="4"/>
      <c r="AD28" s="4"/>
      <c r="AE28" s="4"/>
      <c r="AF28" s="4"/>
      <c r="AG28" s="4"/>
      <c r="AH28" s="4"/>
      <c r="AI28" s="4"/>
      <c r="AJ28" s="4"/>
      <c r="AK28" s="4"/>
      <c r="AL28" s="4"/>
      <c r="AM28" s="4"/>
      <c r="AN28" s="4"/>
      <c r="AO28" s="4"/>
      <c r="AP28" s="4"/>
      <c r="AQ28" s="4"/>
      <c r="AR28" s="4"/>
      <c r="AS28" s="4"/>
      <c r="AT28" s="4"/>
      <c r="AU28" s="4"/>
      <c r="AV28" s="4"/>
      <c r="AW28" s="4"/>
      <c r="AX28" s="4"/>
      <c r="AY28" s="4"/>
      <c r="AZ28" s="4"/>
      <c r="BA28" s="4"/>
      <c r="BB28" s="4"/>
      <c r="BC28" s="4"/>
      <c r="BD28" s="4"/>
      <c r="BE28" s="4"/>
      <c r="BF28" s="4"/>
      <c r="BG28" s="4"/>
      <c r="BH28" s="4"/>
      <c r="BI28" s="4"/>
      <c r="BJ28" s="4"/>
      <c r="BK28" s="4"/>
      <c r="BL28" s="4"/>
      <c r="BM28" s="4"/>
      <c r="BN28" s="4"/>
      <c r="BO28" s="4"/>
      <c r="BP28" s="4"/>
      <c r="BQ28" s="4"/>
      <c r="BR28" s="4"/>
      <c r="BS28" s="4"/>
      <c r="BT28" s="4"/>
      <c r="BU28" s="4"/>
      <c r="BV28" s="4"/>
      <c r="BW28" s="4"/>
      <c r="BX28" s="4"/>
    </row>
    <row r="29" spans="1:82" ht="24.95" customHeight="1" x14ac:dyDescent="0.25">
      <c r="A29" s="40">
        <v>16</v>
      </c>
      <c r="B29" s="16"/>
      <c r="C29" s="17"/>
      <c r="D29" s="28"/>
      <c r="E29" s="17"/>
      <c r="F29" s="59"/>
      <c r="G29" s="18"/>
      <c r="H29" s="18"/>
      <c r="I29" s="97"/>
      <c r="J29" s="21"/>
      <c r="K29" s="36" t="str">
        <f t="shared" si="36"/>
        <v/>
      </c>
      <c r="L29" s="18"/>
      <c r="M29" s="18"/>
      <c r="N29" s="27"/>
      <c r="O29" s="36" t="str">
        <f t="shared" si="37"/>
        <v/>
      </c>
      <c r="P29" s="24"/>
      <c r="Q29" s="4"/>
      <c r="R29" s="4"/>
      <c r="S29" s="4"/>
      <c r="T29" s="4"/>
      <c r="U29" s="4"/>
      <c r="V29" s="4"/>
      <c r="W29" s="4"/>
      <c r="X29" s="4"/>
      <c r="Y29" s="4"/>
      <c r="Z29" s="4"/>
      <c r="AA29" s="4"/>
      <c r="AB29" s="4"/>
      <c r="AC29" s="4"/>
      <c r="AD29" s="4"/>
      <c r="AE29" s="4"/>
      <c r="AF29" s="4"/>
      <c r="AG29" s="4"/>
      <c r="AH29" s="4"/>
      <c r="AI29" s="4"/>
      <c r="AJ29" s="4"/>
      <c r="AK29" s="4"/>
      <c r="AL29" s="4"/>
      <c r="AM29" s="4"/>
      <c r="AN29" s="4"/>
      <c r="AO29" s="4"/>
      <c r="AP29" s="4"/>
      <c r="AQ29" s="4"/>
      <c r="AR29" s="4"/>
      <c r="AS29" s="4"/>
      <c r="AT29" s="4"/>
      <c r="AU29" s="4"/>
      <c r="AV29" s="4"/>
      <c r="AW29" s="4"/>
      <c r="AX29" s="4"/>
      <c r="AY29" s="4"/>
      <c r="AZ29" s="4"/>
      <c r="BA29" s="4"/>
      <c r="BB29" s="4"/>
      <c r="BC29" s="4"/>
      <c r="BD29" s="4"/>
      <c r="BE29" s="4"/>
      <c r="BF29" s="4"/>
      <c r="BG29" s="4"/>
      <c r="BH29" s="4"/>
      <c r="BI29" s="4"/>
      <c r="BJ29" s="4"/>
      <c r="BK29" s="4"/>
      <c r="BL29" s="4"/>
      <c r="BM29" s="4"/>
      <c r="BN29" s="4"/>
      <c r="BO29" s="4"/>
      <c r="BP29" s="4"/>
      <c r="BQ29" s="4"/>
      <c r="BR29" s="4"/>
      <c r="BS29" s="4"/>
      <c r="BT29" s="4"/>
      <c r="BU29" s="4"/>
      <c r="BV29" s="4"/>
      <c r="BW29" s="4"/>
      <c r="BX29" s="4"/>
    </row>
    <row r="30" spans="1:82" ht="24.95" customHeight="1" x14ac:dyDescent="0.25">
      <c r="A30" s="40">
        <v>17</v>
      </c>
      <c r="B30" s="16"/>
      <c r="C30" s="17"/>
      <c r="D30" s="28">
        <f>IF(E30&lt;&gt;"",_xlfn.XLOOKUP(E30,'Parametre Gantt'!$G$3:$G$13,'Parametre Gantt'!$F$3:$F$13,""),0)</f>
        <v>0</v>
      </c>
      <c r="E30" s="17"/>
      <c r="F30" s="59">
        <f>_xlfn.XLOOKUP(E30,'Parametre Gantt'!$G$3:$G$13,'Parametre Gantt'!$H$3:$H$13,"")</f>
        <v>0</v>
      </c>
      <c r="G30" s="18"/>
      <c r="H30" s="18"/>
      <c r="I30" s="97"/>
      <c r="J30" s="21"/>
      <c r="K30" s="36" t="str">
        <f t="shared" si="36"/>
        <v/>
      </c>
      <c r="L30" s="18"/>
      <c r="M30" s="18"/>
      <c r="N30" s="27"/>
      <c r="O30" s="36" t="str">
        <f t="shared" si="37"/>
        <v/>
      </c>
      <c r="P30" s="24"/>
      <c r="Q30" s="4"/>
      <c r="R30" s="4"/>
      <c r="S30" s="4"/>
      <c r="T30" s="4"/>
      <c r="U30" s="4"/>
      <c r="V30" s="4"/>
      <c r="W30" s="4"/>
      <c r="X30" s="4"/>
      <c r="Y30" s="4"/>
      <c r="Z30" s="4"/>
      <c r="AA30" s="4"/>
      <c r="AB30" s="4"/>
      <c r="AC30" s="4"/>
      <c r="AD30" s="4"/>
      <c r="AE30" s="4"/>
      <c r="AF30" s="4"/>
      <c r="AG30" s="4"/>
      <c r="AH30" s="4"/>
      <c r="AI30" s="4"/>
      <c r="AJ30" s="4"/>
      <c r="AK30" s="4"/>
      <c r="AL30" s="4"/>
      <c r="AM30" s="4"/>
      <c r="AN30" s="4"/>
      <c r="AO30" s="4"/>
      <c r="AP30" s="4"/>
      <c r="AQ30" s="4"/>
      <c r="AR30" s="4"/>
      <c r="AS30" s="4"/>
      <c r="AT30" s="4"/>
      <c r="AU30" s="4"/>
      <c r="AV30" s="4"/>
      <c r="AW30" s="4"/>
      <c r="AX30" s="4"/>
      <c r="AY30" s="4"/>
      <c r="AZ30" s="4"/>
      <c r="BA30" s="4"/>
      <c r="BB30" s="4"/>
      <c r="BC30" s="4"/>
      <c r="BD30" s="4"/>
      <c r="BE30" s="4"/>
      <c r="BF30" s="4"/>
      <c r="BG30" s="4"/>
      <c r="BH30" s="4"/>
      <c r="BI30" s="4"/>
      <c r="BJ30" s="4"/>
      <c r="BK30" s="4"/>
      <c r="BL30" s="4"/>
      <c r="BM30" s="4"/>
      <c r="BN30" s="4"/>
      <c r="BO30" s="4"/>
      <c r="BP30" s="4"/>
      <c r="BQ30" s="4"/>
      <c r="BR30" s="4"/>
      <c r="BS30" s="4"/>
      <c r="BT30" s="4"/>
      <c r="BU30" s="4"/>
      <c r="BV30" s="4"/>
      <c r="BW30" s="4"/>
      <c r="BX30" s="4"/>
      <c r="CC30" t="str">
        <f>IF(AND($G33&lt;=Q$9, $H33&gt;=Q$9, ISNUMBER(FIND(LOWER('Parametre Gantt'!$A$3), LOWER($B33)))),'Parametre Gantt'!B17,"")</f>
        <v/>
      </c>
    </row>
    <row r="31" spans="1:82" ht="24.95" customHeight="1" x14ac:dyDescent="0.25">
      <c r="A31" s="40">
        <v>18</v>
      </c>
      <c r="B31" s="16"/>
      <c r="C31" s="17"/>
      <c r="D31" s="28">
        <f>IF(E31&lt;&gt;"",_xlfn.XLOOKUP(E31,'Parametre Gantt'!$G$3:$G$13,'Parametre Gantt'!$F$3:$F$13,""),0)</f>
        <v>0</v>
      </c>
      <c r="E31" s="17"/>
      <c r="F31" s="59">
        <f>_xlfn.XLOOKUP(E31,'Parametre Gantt'!$G$3:$G$13,'Parametre Gantt'!$H$3:$H$13,"")</f>
        <v>0</v>
      </c>
      <c r="G31" s="18"/>
      <c r="H31" s="18"/>
      <c r="I31" s="97"/>
      <c r="J31" s="21"/>
      <c r="K31" s="36" t="str">
        <f t="shared" si="36"/>
        <v/>
      </c>
      <c r="L31" s="18"/>
      <c r="M31" s="18"/>
      <c r="N31" s="27"/>
      <c r="O31" s="36" t="str">
        <f t="shared" si="37"/>
        <v/>
      </c>
      <c r="P31" s="24"/>
      <c r="Q31" s="4"/>
      <c r="R31" s="4"/>
      <c r="S31" s="4"/>
      <c r="T31" s="4"/>
      <c r="U31" s="4"/>
      <c r="V31" s="4"/>
      <c r="W31" s="4"/>
      <c r="X31" s="4"/>
      <c r="Y31" s="4"/>
      <c r="Z31" s="4"/>
      <c r="AA31" s="4"/>
      <c r="AB31" s="4"/>
      <c r="AC31" s="4"/>
      <c r="AD31" s="4"/>
      <c r="AE31" s="4"/>
      <c r="AF31" s="4"/>
      <c r="AG31" s="4"/>
      <c r="AH31" s="4"/>
      <c r="AI31" s="4"/>
      <c r="AJ31" s="4"/>
      <c r="AK31" s="4"/>
      <c r="AL31" s="4"/>
      <c r="AM31" s="4"/>
      <c r="AN31" s="4"/>
      <c r="AO31" s="4"/>
      <c r="AP31" s="4"/>
      <c r="AQ31" s="4"/>
      <c r="AR31" s="4"/>
      <c r="AS31" s="4"/>
      <c r="AT31" s="4"/>
      <c r="AU31" s="4"/>
      <c r="AV31" s="4"/>
      <c r="AW31" s="4"/>
      <c r="AX31" s="4"/>
      <c r="AY31" s="4"/>
      <c r="AZ31" s="4"/>
      <c r="BA31" s="4"/>
      <c r="BB31" s="4"/>
      <c r="BC31" s="4"/>
      <c r="BD31" s="4"/>
      <c r="BE31" s="4"/>
      <c r="BF31" s="4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  <c r="BT31" s="4"/>
      <c r="BU31" s="4"/>
      <c r="BV31" s="4"/>
      <c r="BW31" s="4"/>
      <c r="BX31" s="4"/>
      <c r="CC31" t="str">
        <f>IF(AND($G34&lt;=Q$9, $H34&gt;=Q$9, ISNUMBER(FIND(LOWER('Parametre Gantt'!$A$3), LOWER($B34)))),'Parametre Gantt'!B18,"")</f>
        <v/>
      </c>
    </row>
    <row r="32" spans="1:82" ht="24.95" customHeight="1" x14ac:dyDescent="0.25">
      <c r="A32" s="40">
        <v>19</v>
      </c>
      <c r="B32" s="16"/>
      <c r="C32" s="17"/>
      <c r="D32" s="28">
        <f>IF(E32&lt;&gt;"",_xlfn.XLOOKUP(E32,'Parametre Gantt'!$G$3:$G$13,'Parametre Gantt'!$F$3:$F$13,""),0)</f>
        <v>0</v>
      </c>
      <c r="E32" s="17"/>
      <c r="F32" s="59">
        <f>_xlfn.XLOOKUP(E32,'Parametre Gantt'!$G$3:$G$13,'Parametre Gantt'!$H$3:$H$13,"")</f>
        <v>0</v>
      </c>
      <c r="G32" s="18"/>
      <c r="H32" s="18"/>
      <c r="I32" s="97"/>
      <c r="J32" s="21"/>
      <c r="K32" s="36" t="str">
        <f t="shared" si="36"/>
        <v/>
      </c>
      <c r="L32" s="18"/>
      <c r="M32" s="18"/>
      <c r="N32" s="27"/>
      <c r="O32" s="36" t="str">
        <f t="shared" si="37"/>
        <v/>
      </c>
      <c r="P32" s="24"/>
      <c r="Q32" s="4"/>
      <c r="R32" s="4"/>
      <c r="S32" s="4"/>
      <c r="T32" s="4"/>
      <c r="U32" s="4"/>
      <c r="V32" s="4"/>
      <c r="W32" s="4"/>
      <c r="X32" s="4"/>
      <c r="Y32" s="4"/>
      <c r="Z32" s="4"/>
      <c r="AA32" s="4"/>
      <c r="AB32" s="4"/>
      <c r="AC32" s="4"/>
      <c r="AD32" s="4"/>
      <c r="AE32" s="4"/>
      <c r="AF32" s="4"/>
      <c r="AG32" s="4"/>
      <c r="AH32" s="4"/>
      <c r="AI32" s="4"/>
      <c r="AJ32" s="4"/>
      <c r="AK32" s="4"/>
      <c r="AL32" s="4"/>
      <c r="AM32" s="4"/>
      <c r="AN32" s="4"/>
      <c r="AO32" s="4"/>
      <c r="AP32" s="4"/>
      <c r="AQ32" s="4"/>
      <c r="AR32" s="4"/>
      <c r="AS32" s="4"/>
      <c r="AT32" s="4"/>
      <c r="AU32" s="4"/>
      <c r="AV32" s="4"/>
      <c r="AW32" s="4"/>
      <c r="AX32" s="4"/>
      <c r="AY32" s="4"/>
      <c r="AZ32" s="4"/>
      <c r="BA32" s="4"/>
      <c r="BB32" s="4"/>
      <c r="BC32" s="4"/>
      <c r="BD32" s="4"/>
      <c r="BE32" s="4"/>
      <c r="BF32" s="4"/>
      <c r="BG32" s="4"/>
      <c r="BH32" s="4"/>
      <c r="BI32" s="4"/>
      <c r="BJ32" s="4"/>
      <c r="BK32" s="4"/>
      <c r="BL32" s="4"/>
      <c r="BM32" s="4"/>
      <c r="BN32" s="4"/>
      <c r="BO32" s="4"/>
      <c r="BP32" s="4"/>
      <c r="BQ32" s="4"/>
      <c r="BR32" s="4"/>
      <c r="BS32" s="4"/>
      <c r="BT32" s="4"/>
      <c r="BU32" s="4"/>
      <c r="BV32" s="4"/>
      <c r="BW32" s="4"/>
      <c r="BX32" s="4"/>
    </row>
    <row r="33" spans="1:76" ht="24.95" customHeight="1" x14ac:dyDescent="0.25">
      <c r="A33" s="40">
        <v>20</v>
      </c>
      <c r="B33" s="16"/>
      <c r="C33" s="17"/>
      <c r="D33" s="28">
        <f>IF(E33&lt;&gt;"",_xlfn.XLOOKUP(E33,'Parametre Gantt'!$G$3:$G$13,'Parametre Gantt'!$F$3:$F$13,""),0)</f>
        <v>0</v>
      </c>
      <c r="E33" s="17"/>
      <c r="F33" s="59">
        <f>_xlfn.XLOOKUP(E33,'Parametre Gantt'!$G$3:$G$13,'Parametre Gantt'!$H$3:$H$13,"")</f>
        <v>0</v>
      </c>
      <c r="G33" s="18"/>
      <c r="H33" s="18"/>
      <c r="I33" s="97"/>
      <c r="J33" s="21"/>
      <c r="K33" s="36" t="str">
        <f t="shared" si="36"/>
        <v/>
      </c>
      <c r="L33" s="18"/>
      <c r="M33" s="18"/>
      <c r="N33" s="27"/>
      <c r="O33" s="36" t="str">
        <f t="shared" si="37"/>
        <v/>
      </c>
      <c r="P33" s="24"/>
      <c r="Q33" s="4"/>
      <c r="R33" s="4"/>
      <c r="S33" s="4"/>
      <c r="T33" s="4"/>
      <c r="U33" s="4"/>
      <c r="V33" s="4"/>
      <c r="W33" s="4"/>
      <c r="X33" s="4"/>
      <c r="Y33" s="4"/>
      <c r="Z33" s="4"/>
      <c r="AA33" s="4"/>
      <c r="AB33" s="4"/>
      <c r="AC33" s="4"/>
      <c r="AD33" s="4"/>
      <c r="AE33" s="4"/>
      <c r="AF33" s="4"/>
      <c r="AG33" s="4"/>
      <c r="AH33" s="4"/>
      <c r="AI33" s="4"/>
      <c r="AJ33" s="4"/>
      <c r="AK33" s="4"/>
      <c r="AL33" s="4"/>
      <c r="AM33" s="4"/>
      <c r="AN33" s="4"/>
      <c r="AO33" s="4"/>
      <c r="AP33" s="4"/>
      <c r="AQ33" s="4"/>
      <c r="AR33" s="4"/>
      <c r="AS33" s="4"/>
      <c r="AT33" s="4"/>
      <c r="AU33" s="4"/>
      <c r="AV33" s="4"/>
      <c r="AW33" s="4"/>
      <c r="AX33" s="4"/>
      <c r="AY33" s="4"/>
      <c r="AZ33" s="4"/>
      <c r="BA33" s="4"/>
      <c r="BB33" s="4"/>
      <c r="BC33" s="4"/>
      <c r="BD33" s="4"/>
      <c r="BE33" s="4"/>
      <c r="BF33" s="4"/>
      <c r="BG33" s="4"/>
      <c r="BH33" s="4"/>
      <c r="BI33" s="4"/>
      <c r="BJ33" s="4"/>
      <c r="BK33" s="4"/>
      <c r="BL33" s="4"/>
      <c r="BM33" s="4"/>
      <c r="BN33" s="4"/>
      <c r="BO33" s="4"/>
      <c r="BP33" s="4"/>
      <c r="BQ33" s="4"/>
      <c r="BR33" s="4"/>
      <c r="BS33" s="4"/>
      <c r="BT33" s="4"/>
      <c r="BU33" s="4"/>
      <c r="BV33" s="4"/>
      <c r="BW33" s="4"/>
      <c r="BX33" s="4"/>
    </row>
    <row r="34" spans="1:76" ht="24.95" customHeight="1" x14ac:dyDescent="0.25">
      <c r="A34" s="40">
        <v>21</v>
      </c>
      <c r="B34" s="16"/>
      <c r="C34" s="17"/>
      <c r="D34" s="28">
        <f>IF(E34&lt;&gt;"",_xlfn.XLOOKUP(E34,'Parametre Gantt'!$G$3:$G$13,'Parametre Gantt'!$F$3:$F$13,""),0)</f>
        <v>0</v>
      </c>
      <c r="E34" s="17"/>
      <c r="F34" s="59">
        <f>_xlfn.XLOOKUP(E34,'Parametre Gantt'!$G$3:$G$13,'Parametre Gantt'!$H$3:$H$13,"")</f>
        <v>0</v>
      </c>
      <c r="G34" s="18"/>
      <c r="H34" s="18"/>
      <c r="I34" s="97"/>
      <c r="J34" s="21"/>
      <c r="K34" s="36" t="str">
        <f t="shared" si="36"/>
        <v/>
      </c>
      <c r="L34" s="18"/>
      <c r="M34" s="18"/>
      <c r="N34" s="27"/>
      <c r="O34" s="36" t="str">
        <f t="shared" si="37"/>
        <v/>
      </c>
      <c r="P34" s="24"/>
      <c r="Q34" s="4"/>
      <c r="R34" s="4"/>
      <c r="S34" s="4"/>
      <c r="T34" s="4"/>
      <c r="U34" s="4"/>
      <c r="V34" s="4"/>
      <c r="W34" s="4"/>
      <c r="X34" s="4"/>
      <c r="Y34" s="4"/>
      <c r="Z34" s="4"/>
      <c r="AA34" s="4"/>
      <c r="AB34" s="4"/>
      <c r="AC34" s="4"/>
      <c r="AD34" s="4"/>
      <c r="AE34" s="4"/>
      <c r="AF34" s="4"/>
      <c r="AG34" s="4"/>
      <c r="AH34" s="4"/>
      <c r="AI34" s="4"/>
      <c r="AJ34" s="4"/>
      <c r="AK34" s="4"/>
      <c r="AL34" s="4"/>
      <c r="AM34" s="4"/>
      <c r="AN34" s="4"/>
      <c r="AO34" s="4"/>
      <c r="AP34" s="4"/>
      <c r="AQ34" s="4"/>
      <c r="AR34" s="4"/>
      <c r="AS34" s="4"/>
      <c r="AT34" s="4"/>
      <c r="AU34" s="4"/>
      <c r="AV34" s="4"/>
      <c r="AW34" s="4"/>
      <c r="AX34" s="4"/>
      <c r="AY34" s="4"/>
      <c r="AZ34" s="4"/>
      <c r="BA34" s="4"/>
      <c r="BB34" s="4"/>
      <c r="BC34" s="4"/>
      <c r="BD34" s="4"/>
      <c r="BE34" s="4"/>
      <c r="BF34" s="4"/>
      <c r="BG34" s="4"/>
      <c r="BH34" s="4"/>
      <c r="BI34" s="4"/>
      <c r="BJ34" s="4"/>
      <c r="BK34" s="4"/>
      <c r="BL34" s="4"/>
      <c r="BM34" s="4"/>
      <c r="BN34" s="4"/>
      <c r="BO34" s="4"/>
      <c r="BP34" s="4"/>
      <c r="BQ34" s="4"/>
      <c r="BR34" s="4"/>
      <c r="BS34" s="4"/>
      <c r="BT34" s="4"/>
      <c r="BU34" s="4"/>
      <c r="BV34" s="4"/>
      <c r="BW34" s="4"/>
      <c r="BX34" s="4"/>
    </row>
    <row r="35" spans="1:76" ht="24.95" customHeight="1" x14ac:dyDescent="0.25">
      <c r="A35" s="40">
        <v>21.1</v>
      </c>
      <c r="B35" s="16"/>
      <c r="C35" s="17"/>
      <c r="D35" s="28">
        <f>IF(E35&lt;&gt;"",_xlfn.XLOOKUP(E35,'Parametre Gantt'!$G$3:$G$13,'Parametre Gantt'!$F$3:$F$13,""),0)</f>
        <v>0</v>
      </c>
      <c r="E35" s="17"/>
      <c r="F35" s="59">
        <f>_xlfn.XLOOKUP(E35,'Parametre Gantt'!$G$3:$G$13,'Parametre Gantt'!$H$3:$H$13,"")</f>
        <v>0</v>
      </c>
      <c r="G35" s="18"/>
      <c r="H35" s="18"/>
      <c r="I35" s="97"/>
      <c r="J35" s="21"/>
      <c r="K35" s="36" t="str">
        <f t="shared" si="36"/>
        <v/>
      </c>
      <c r="L35" s="18"/>
      <c r="M35" s="18"/>
      <c r="N35" s="27"/>
      <c r="O35" s="36" t="str">
        <f t="shared" si="37"/>
        <v/>
      </c>
      <c r="P35" s="24"/>
      <c r="Q35" s="4"/>
      <c r="R35" s="4"/>
      <c r="S35" s="4"/>
      <c r="T35" s="4"/>
      <c r="U35" s="4"/>
      <c r="V35" s="4"/>
      <c r="W35" s="4"/>
      <c r="X35" s="4"/>
      <c r="Y35" s="4"/>
      <c r="Z35" s="4"/>
      <c r="AA35" s="4"/>
      <c r="AB35" s="4"/>
      <c r="AC35" s="4"/>
      <c r="AD35" s="4"/>
      <c r="AE35" s="4"/>
      <c r="AF35" s="4"/>
      <c r="AG35" s="4"/>
      <c r="AH35" s="4"/>
      <c r="AI35" s="4"/>
      <c r="AJ35" s="4"/>
      <c r="AK35" s="4"/>
      <c r="AL35" s="4"/>
      <c r="AM35" s="4"/>
      <c r="AN35" s="4"/>
      <c r="AO35" s="4"/>
      <c r="AP35" s="4"/>
      <c r="AQ35" s="4"/>
      <c r="AR35" s="4"/>
      <c r="AS35" s="4"/>
      <c r="AT35" s="4"/>
      <c r="AU35" s="4"/>
      <c r="AV35" s="4"/>
      <c r="AW35" s="4"/>
      <c r="AX35" s="4"/>
      <c r="AY35" s="4"/>
      <c r="AZ35" s="4"/>
      <c r="BA35" s="4"/>
      <c r="BB35" s="4"/>
      <c r="BC35" s="4"/>
      <c r="BD35" s="4"/>
      <c r="BE35" s="4"/>
      <c r="BF35" s="4"/>
      <c r="BG35" s="4"/>
      <c r="BH35" s="4"/>
      <c r="BI35" s="4"/>
      <c r="BJ35" s="4"/>
      <c r="BK35" s="4"/>
      <c r="BL35" s="4"/>
      <c r="BM35" s="4"/>
      <c r="BN35" s="4"/>
      <c r="BO35" s="4"/>
      <c r="BP35" s="4"/>
      <c r="BQ35" s="4"/>
      <c r="BR35" s="4"/>
      <c r="BS35" s="4"/>
      <c r="BT35" s="4"/>
      <c r="BU35" s="4"/>
      <c r="BV35" s="4"/>
      <c r="BW35" s="4"/>
      <c r="BX35" s="4"/>
    </row>
    <row r="36" spans="1:76" ht="24.95" customHeight="1" x14ac:dyDescent="0.25">
      <c r="A36" s="40">
        <v>21.2</v>
      </c>
      <c r="B36" s="16"/>
      <c r="C36" s="17"/>
      <c r="D36" s="28">
        <f>IF(E36&lt;&gt;"",_xlfn.XLOOKUP(E36,'Parametre Gantt'!$G$3:$G$13,'Parametre Gantt'!$F$3:$F$13,""),0)</f>
        <v>0</v>
      </c>
      <c r="E36" s="17"/>
      <c r="F36" s="59">
        <f>_xlfn.XLOOKUP(E36,'Parametre Gantt'!$G$3:$G$13,'Parametre Gantt'!$H$3:$H$13,"")</f>
        <v>0</v>
      </c>
      <c r="G36" s="18"/>
      <c r="H36" s="18"/>
      <c r="I36" s="97"/>
      <c r="J36" s="21"/>
      <c r="K36" s="36"/>
      <c r="L36" s="18"/>
      <c r="M36" s="18"/>
      <c r="N36" s="27"/>
      <c r="O36" s="36"/>
      <c r="P36" s="24"/>
      <c r="Q36" s="4"/>
      <c r="R36" s="4"/>
      <c r="S36" s="4"/>
      <c r="T36" s="4"/>
      <c r="U36" s="4"/>
      <c r="V36" s="4"/>
      <c r="W36" s="4"/>
      <c r="X36" s="4"/>
      <c r="Y36" s="4"/>
      <c r="Z36" s="4"/>
      <c r="AA36" s="4"/>
      <c r="AB36" s="4"/>
      <c r="AC36" s="4"/>
      <c r="AD36" s="4"/>
      <c r="AE36" s="4"/>
      <c r="AF36" s="4"/>
      <c r="AG36" s="4"/>
      <c r="AH36" s="4"/>
      <c r="AI36" s="4"/>
      <c r="AJ36" s="4"/>
      <c r="AK36" s="4"/>
      <c r="AL36" s="4"/>
      <c r="AM36" s="4"/>
      <c r="AN36" s="4"/>
      <c r="AO36" s="4"/>
      <c r="AP36" s="4"/>
      <c r="AQ36" s="4"/>
      <c r="AR36" s="4"/>
      <c r="AS36" s="4"/>
      <c r="AT36" s="4"/>
      <c r="AU36" s="4"/>
      <c r="AV36" s="4"/>
      <c r="AW36" s="4"/>
      <c r="AX36" s="4"/>
      <c r="AY36" s="4"/>
      <c r="AZ36" s="4"/>
      <c r="BA36" s="4"/>
      <c r="BB36" s="4"/>
      <c r="BC36" s="4"/>
      <c r="BD36" s="4"/>
      <c r="BE36" s="4"/>
      <c r="BF36" s="4"/>
      <c r="BG36" s="4"/>
      <c r="BH36" s="4"/>
      <c r="BI36" s="4"/>
      <c r="BJ36" s="4"/>
      <c r="BK36" s="4"/>
      <c r="BL36" s="4"/>
      <c r="BM36" s="4"/>
      <c r="BN36" s="4"/>
      <c r="BO36" s="4"/>
      <c r="BP36" s="4"/>
      <c r="BQ36" s="4"/>
      <c r="BR36" s="4"/>
      <c r="BS36" s="4"/>
      <c r="BT36" s="4"/>
      <c r="BU36" s="4"/>
      <c r="BV36" s="4"/>
      <c r="BW36" s="4"/>
      <c r="BX36" s="4"/>
    </row>
    <row r="37" spans="1:76" ht="24.95" customHeight="1" x14ac:dyDescent="0.25">
      <c r="A37" s="40">
        <v>21.3</v>
      </c>
      <c r="B37" s="16"/>
      <c r="C37" s="17"/>
      <c r="D37" s="28">
        <f>IF(E37&lt;&gt;"",_xlfn.XLOOKUP(E37,'Parametre Gantt'!$G$3:$G$13,'Parametre Gantt'!$F$3:$F$13,""),0)</f>
        <v>0</v>
      </c>
      <c r="E37" s="17"/>
      <c r="F37" s="59">
        <f>_xlfn.XLOOKUP(E37,'Parametre Gantt'!$G$3:$G$13,'Parametre Gantt'!$H$3:$H$13,"")</f>
        <v>0</v>
      </c>
      <c r="G37" s="18"/>
      <c r="H37" s="18"/>
      <c r="I37" s="97"/>
      <c r="J37" s="21"/>
      <c r="K37" s="36"/>
      <c r="L37" s="18"/>
      <c r="M37" s="18"/>
      <c r="N37" s="27"/>
      <c r="O37" s="36"/>
      <c r="P37" s="24"/>
      <c r="Q37" s="4"/>
      <c r="R37" s="4"/>
      <c r="S37" s="4"/>
      <c r="T37" s="4"/>
      <c r="U37" s="4"/>
      <c r="V37" s="4"/>
      <c r="W37" s="4"/>
      <c r="X37" s="4"/>
      <c r="Y37" s="4"/>
      <c r="Z37" s="4"/>
      <c r="AA37" s="4"/>
      <c r="AB37" s="4"/>
      <c r="AC37" s="4"/>
      <c r="AD37" s="4"/>
      <c r="AE37" s="4"/>
      <c r="AF37" s="4"/>
      <c r="AG37" s="4"/>
      <c r="AH37" s="4"/>
      <c r="AI37" s="4"/>
      <c r="AJ37" s="4"/>
      <c r="AK37" s="4"/>
      <c r="AL37" s="4"/>
      <c r="AM37" s="4"/>
      <c r="AN37" s="4"/>
      <c r="AO37" s="4"/>
      <c r="AP37" s="4"/>
      <c r="AQ37" s="4"/>
      <c r="AR37" s="4"/>
      <c r="AS37" s="4"/>
      <c r="AT37" s="4"/>
      <c r="AU37" s="4"/>
      <c r="AV37" s="4"/>
      <c r="AW37" s="4"/>
      <c r="AX37" s="4"/>
      <c r="AY37" s="4"/>
      <c r="AZ37" s="4"/>
      <c r="BA37" s="4"/>
      <c r="BB37" s="4"/>
      <c r="BC37" s="4"/>
      <c r="BD37" s="4"/>
      <c r="BE37" s="4"/>
      <c r="BF37" s="4"/>
      <c r="BG37" s="4"/>
      <c r="BH37" s="4"/>
      <c r="BI37" s="4"/>
      <c r="BJ37" s="4"/>
      <c r="BK37" s="4"/>
      <c r="BL37" s="4"/>
      <c r="BM37" s="4"/>
      <c r="BN37" s="4"/>
      <c r="BO37" s="4"/>
      <c r="BP37" s="4"/>
      <c r="BQ37" s="4"/>
      <c r="BR37" s="4"/>
      <c r="BS37" s="4"/>
      <c r="BT37" s="4"/>
      <c r="BU37" s="4"/>
      <c r="BV37" s="4"/>
      <c r="BW37" s="4"/>
      <c r="BX37" s="4"/>
    </row>
    <row r="38" spans="1:76" ht="24.95" customHeight="1" x14ac:dyDescent="0.25">
      <c r="A38" s="40">
        <v>21.4</v>
      </c>
      <c r="B38" s="16"/>
      <c r="C38" s="17"/>
      <c r="D38" s="28">
        <f>IF(E38&lt;&gt;"",_xlfn.XLOOKUP(E38,'Parametre Gantt'!$G$3:$G$13,'Parametre Gantt'!$F$3:$F$13,""),0)</f>
        <v>0</v>
      </c>
      <c r="E38" s="17"/>
      <c r="F38" s="59">
        <f>_xlfn.XLOOKUP(E38,'Parametre Gantt'!$G$3:$G$13,'Parametre Gantt'!$H$3:$H$13,"")</f>
        <v>0</v>
      </c>
      <c r="G38" s="18"/>
      <c r="H38" s="18"/>
      <c r="I38" s="97"/>
      <c r="J38" s="21"/>
      <c r="K38" s="36"/>
      <c r="L38" s="18"/>
      <c r="M38" s="18"/>
      <c r="N38" s="27"/>
      <c r="O38" s="36"/>
      <c r="P38" s="24"/>
      <c r="Q38" s="4"/>
      <c r="R38" s="4"/>
      <c r="S38" s="4"/>
      <c r="T38" s="4"/>
      <c r="U38" s="4"/>
      <c r="V38" s="4"/>
      <c r="W38" s="4"/>
      <c r="X38" s="4"/>
      <c r="Y38" s="4"/>
      <c r="Z38" s="4"/>
      <c r="AA38" s="4"/>
      <c r="AB38" s="4"/>
      <c r="AC38" s="4"/>
      <c r="AD38" s="4"/>
      <c r="AE38" s="4"/>
      <c r="AF38" s="4"/>
      <c r="AG38" s="4"/>
      <c r="AH38" s="4"/>
      <c r="AI38" s="4"/>
      <c r="AJ38" s="4"/>
      <c r="AK38" s="4"/>
      <c r="AL38" s="4"/>
      <c r="AM38" s="4"/>
      <c r="AN38" s="4"/>
      <c r="AO38" s="4"/>
      <c r="AP38" s="4"/>
      <c r="AQ38" s="4"/>
      <c r="AR38" s="4"/>
      <c r="AS38" s="4"/>
      <c r="AT38" s="4"/>
      <c r="AU38" s="4"/>
      <c r="AV38" s="4"/>
      <c r="AW38" s="4"/>
      <c r="AX38" s="4"/>
      <c r="AY38" s="4"/>
      <c r="AZ38" s="4"/>
      <c r="BA38" s="4"/>
      <c r="BB38" s="4"/>
      <c r="BC38" s="4"/>
      <c r="BD38" s="4"/>
      <c r="BE38" s="4"/>
      <c r="BF38" s="4"/>
      <c r="BG38" s="4"/>
      <c r="BH38" s="4"/>
      <c r="BI38" s="4"/>
      <c r="BJ38" s="4"/>
      <c r="BK38" s="4"/>
      <c r="BL38" s="4"/>
      <c r="BM38" s="4"/>
      <c r="BN38" s="4"/>
      <c r="BO38" s="4"/>
      <c r="BP38" s="4"/>
      <c r="BQ38" s="4"/>
      <c r="BR38" s="4"/>
      <c r="BS38" s="4"/>
      <c r="BT38" s="4"/>
      <c r="BU38" s="4"/>
      <c r="BV38" s="4"/>
      <c r="BW38" s="4"/>
      <c r="BX38" s="4"/>
    </row>
    <row r="39" spans="1:76" ht="24.95" customHeight="1" x14ac:dyDescent="0.25">
      <c r="A39" s="40">
        <v>21.5</v>
      </c>
      <c r="B39" s="16"/>
      <c r="C39" s="17"/>
      <c r="D39" s="28">
        <f>IF(E39&lt;&gt;"",_xlfn.XLOOKUP(E39,'Parametre Gantt'!$G$3:$G$13,'Parametre Gantt'!$F$3:$F$13,""),0)</f>
        <v>0</v>
      </c>
      <c r="E39" s="17"/>
      <c r="F39" s="59">
        <f>_xlfn.XLOOKUP(E39,'Parametre Gantt'!$G$3:$G$13,'Parametre Gantt'!$H$3:$H$13,"")</f>
        <v>0</v>
      </c>
      <c r="G39" s="18"/>
      <c r="H39" s="18"/>
      <c r="I39" s="97"/>
      <c r="J39" s="21"/>
      <c r="K39" s="36"/>
      <c r="L39" s="18"/>
      <c r="M39" s="18"/>
      <c r="N39" s="27"/>
      <c r="O39" s="36"/>
      <c r="P39" s="24"/>
      <c r="Q39" s="4"/>
      <c r="R39" s="4"/>
      <c r="S39" s="4"/>
      <c r="T39" s="4"/>
      <c r="U39" s="4"/>
      <c r="V39" s="4"/>
      <c r="W39" s="4"/>
      <c r="X39" s="4"/>
      <c r="Y39" s="4"/>
      <c r="Z39" s="4"/>
      <c r="AA39" s="4"/>
      <c r="AB39" s="4"/>
      <c r="AC39" s="4"/>
      <c r="AD39" s="4"/>
      <c r="AE39" s="4"/>
      <c r="AF39" s="4"/>
      <c r="AG39" s="4"/>
      <c r="AH39" s="4"/>
      <c r="AI39" s="4"/>
      <c r="AJ39" s="4"/>
      <c r="AK39" s="4"/>
      <c r="AL39" s="4"/>
      <c r="AM39" s="4"/>
      <c r="AN39" s="4"/>
      <c r="AO39" s="4"/>
      <c r="AP39" s="4"/>
      <c r="AQ39" s="4"/>
      <c r="AR39" s="4"/>
      <c r="AS39" s="4"/>
      <c r="AT39" s="4"/>
      <c r="AU39" s="4"/>
      <c r="AV39" s="4"/>
      <c r="AW39" s="4"/>
      <c r="AX39" s="4"/>
      <c r="AY39" s="4"/>
      <c r="AZ39" s="4"/>
      <c r="BA39" s="4"/>
      <c r="BB39" s="4"/>
      <c r="BC39" s="4"/>
      <c r="BD39" s="4"/>
      <c r="BE39" s="4"/>
      <c r="BF39" s="4"/>
      <c r="BG39" s="4"/>
      <c r="BH39" s="4"/>
      <c r="BI39" s="4"/>
      <c r="BJ39" s="4"/>
      <c r="BK39" s="4"/>
      <c r="BL39" s="4"/>
      <c r="BM39" s="4"/>
      <c r="BN39" s="4"/>
      <c r="BO39" s="4"/>
      <c r="BP39" s="4"/>
      <c r="BQ39" s="4"/>
      <c r="BR39" s="4"/>
      <c r="BS39" s="4"/>
      <c r="BT39" s="4"/>
      <c r="BU39" s="4"/>
      <c r="BV39" s="4"/>
      <c r="BW39" s="4"/>
      <c r="BX39" s="4"/>
    </row>
    <row r="40" spans="1:76" ht="24.95" customHeight="1" x14ac:dyDescent="0.25">
      <c r="A40" s="40">
        <v>21.6</v>
      </c>
      <c r="B40" s="16"/>
      <c r="C40" s="17"/>
      <c r="D40" s="28">
        <f>IF(E40&lt;&gt;"",_xlfn.XLOOKUP(E40,'Parametre Gantt'!$G$3:$G$13,'Parametre Gantt'!$F$3:$F$13,""),0)</f>
        <v>0</v>
      </c>
      <c r="E40" s="17"/>
      <c r="F40" s="59">
        <f>_xlfn.XLOOKUP(E40,'Parametre Gantt'!$G$3:$G$13,'Parametre Gantt'!$H$3:$H$13,"")</f>
        <v>0</v>
      </c>
      <c r="G40" s="18"/>
      <c r="H40" s="18"/>
      <c r="I40" s="97"/>
      <c r="J40" s="21"/>
      <c r="K40" s="36"/>
      <c r="L40" s="18"/>
      <c r="M40" s="18"/>
      <c r="N40" s="27"/>
      <c r="O40" s="36"/>
      <c r="P40" s="24"/>
      <c r="Q40" s="4"/>
      <c r="R40" s="4"/>
      <c r="S40" s="4"/>
      <c r="T40" s="4"/>
      <c r="U40" s="4"/>
      <c r="V40" s="4"/>
      <c r="W40" s="4"/>
      <c r="X40" s="4"/>
      <c r="Y40" s="4"/>
      <c r="Z40" s="4"/>
      <c r="AA40" s="4"/>
      <c r="AB40" s="4"/>
      <c r="AC40" s="4"/>
      <c r="AD40" s="4"/>
      <c r="AE40" s="4"/>
      <c r="AF40" s="4"/>
      <c r="AG40" s="4"/>
      <c r="AH40" s="4"/>
      <c r="AI40" s="4"/>
      <c r="AJ40" s="4"/>
      <c r="AK40" s="4"/>
      <c r="AL40" s="4"/>
      <c r="AM40" s="4"/>
      <c r="AN40" s="4"/>
      <c r="AO40" s="4"/>
      <c r="AP40" s="4"/>
      <c r="AQ40" s="4"/>
      <c r="AR40" s="4"/>
      <c r="AS40" s="4"/>
      <c r="AT40" s="4"/>
      <c r="AU40" s="4"/>
      <c r="AV40" s="4"/>
      <c r="AW40" s="4"/>
      <c r="AX40" s="4"/>
      <c r="AY40" s="4"/>
      <c r="AZ40" s="4"/>
      <c r="BA40" s="4"/>
      <c r="BB40" s="4"/>
      <c r="BC40" s="4"/>
      <c r="BD40" s="4"/>
      <c r="BE40" s="4"/>
      <c r="BF40" s="4"/>
      <c r="BG40" s="4"/>
      <c r="BH40" s="4"/>
      <c r="BI40" s="4"/>
      <c r="BJ40" s="4"/>
      <c r="BK40" s="4"/>
      <c r="BL40" s="4"/>
      <c r="BM40" s="4"/>
      <c r="BN40" s="4"/>
      <c r="BO40" s="4"/>
      <c r="BP40" s="4"/>
      <c r="BQ40" s="4"/>
      <c r="BR40" s="4"/>
      <c r="BS40" s="4"/>
      <c r="BT40" s="4"/>
      <c r="BU40" s="4"/>
      <c r="BV40" s="4"/>
      <c r="BW40" s="4"/>
      <c r="BX40" s="4"/>
    </row>
    <row r="41" spans="1:76" ht="24.95" customHeight="1" x14ac:dyDescent="0.25">
      <c r="A41" s="40">
        <v>21.7</v>
      </c>
      <c r="B41" s="16"/>
      <c r="C41" s="17"/>
      <c r="D41" s="28">
        <f>IF(E41&lt;&gt;"",_xlfn.XLOOKUP(E41,'Parametre Gantt'!$G$3:$G$13,'Parametre Gantt'!$F$3:$F$13,""),0)</f>
        <v>0</v>
      </c>
      <c r="E41" s="17"/>
      <c r="F41" s="59">
        <f>_xlfn.XLOOKUP(E41,'Parametre Gantt'!$G$3:$G$13,'Parametre Gantt'!$H$3:$H$13,"")</f>
        <v>0</v>
      </c>
      <c r="G41" s="18"/>
      <c r="H41" s="18"/>
      <c r="I41" s="97"/>
      <c r="J41" s="21"/>
      <c r="K41" s="36"/>
      <c r="L41" s="18"/>
      <c r="M41" s="18"/>
      <c r="N41" s="27"/>
      <c r="O41" s="36"/>
      <c r="P41" s="24"/>
      <c r="Q41" s="4"/>
      <c r="R41" s="4"/>
      <c r="S41" s="4"/>
      <c r="T41" s="4"/>
      <c r="U41" s="4"/>
      <c r="V41" s="4"/>
      <c r="W41" s="4"/>
      <c r="X41" s="4"/>
      <c r="Y41" s="4"/>
      <c r="Z41" s="4"/>
      <c r="AA41" s="4"/>
      <c r="AB41" s="4"/>
      <c r="AC41" s="4"/>
      <c r="AD41" s="4"/>
      <c r="AE41" s="4"/>
      <c r="AF41" s="4"/>
      <c r="AG41" s="4"/>
      <c r="AH41" s="4"/>
      <c r="AI41" s="4"/>
      <c r="AJ41" s="4"/>
      <c r="AK41" s="4"/>
      <c r="AL41" s="4"/>
      <c r="AM41" s="4"/>
      <c r="AN41" s="4"/>
      <c r="AO41" s="4"/>
      <c r="AP41" s="4"/>
      <c r="AQ41" s="4"/>
      <c r="AR41" s="4"/>
      <c r="AS41" s="4"/>
      <c r="AT41" s="4"/>
      <c r="AU41" s="4"/>
      <c r="AV41" s="4"/>
      <c r="AW41" s="4"/>
      <c r="AX41" s="4"/>
      <c r="AY41" s="4"/>
      <c r="AZ41" s="4"/>
      <c r="BA41" s="4"/>
      <c r="BB41" s="4"/>
      <c r="BC41" s="4"/>
      <c r="BD41" s="4"/>
      <c r="BE41" s="4"/>
      <c r="BF41" s="4"/>
      <c r="BG41" s="4"/>
      <c r="BH41" s="4"/>
      <c r="BI41" s="4"/>
      <c r="BJ41" s="4"/>
      <c r="BK41" s="4"/>
      <c r="BL41" s="4"/>
      <c r="BM41" s="4"/>
      <c r="BN41" s="4"/>
      <c r="BO41" s="4"/>
      <c r="BP41" s="4"/>
      <c r="BQ41" s="4"/>
      <c r="BR41" s="4"/>
      <c r="BS41" s="4"/>
      <c r="BT41" s="4"/>
      <c r="BU41" s="4"/>
      <c r="BV41" s="4"/>
      <c r="BW41" s="4"/>
      <c r="BX41" s="4"/>
    </row>
    <row r="42" spans="1:76" ht="24.95" customHeight="1" x14ac:dyDescent="0.25">
      <c r="A42" s="40">
        <v>21.8</v>
      </c>
      <c r="B42" s="16"/>
      <c r="C42" s="17"/>
      <c r="D42" s="28">
        <f>IF(E42&lt;&gt;"",_xlfn.XLOOKUP(E42,'Parametre Gantt'!$G$3:$G$13,'Parametre Gantt'!$F$3:$F$13,""),0)</f>
        <v>0</v>
      </c>
      <c r="E42" s="17"/>
      <c r="F42" s="59">
        <f>_xlfn.XLOOKUP(E42,'Parametre Gantt'!$G$3:$G$13,'Parametre Gantt'!$H$3:$H$13,"")</f>
        <v>0</v>
      </c>
      <c r="G42" s="18"/>
      <c r="H42" s="18"/>
      <c r="I42" s="97"/>
      <c r="J42" s="21"/>
      <c r="K42" s="36"/>
      <c r="L42" s="18"/>
      <c r="M42" s="18"/>
      <c r="N42" s="27"/>
      <c r="O42" s="36"/>
      <c r="P42" s="24"/>
      <c r="Q42" s="4"/>
      <c r="R42" s="4"/>
      <c r="S42" s="4"/>
      <c r="T42" s="4"/>
      <c r="U42" s="4"/>
      <c r="V42" s="4"/>
      <c r="W42" s="4"/>
      <c r="X42" s="4"/>
      <c r="Y42" s="4"/>
      <c r="Z42" s="4"/>
      <c r="AA42" s="4"/>
      <c r="AB42" s="4"/>
      <c r="AC42" s="4"/>
      <c r="AD42" s="4"/>
      <c r="AE42" s="4"/>
      <c r="AF42" s="4"/>
      <c r="AG42" s="4"/>
      <c r="AH42" s="4"/>
      <c r="AI42" s="4"/>
      <c r="AJ42" s="4"/>
      <c r="AK42" s="4"/>
      <c r="AL42" s="4"/>
      <c r="AM42" s="4"/>
      <c r="AN42" s="4"/>
      <c r="AO42" s="4"/>
      <c r="AP42" s="4"/>
      <c r="AQ42" s="4"/>
      <c r="AR42" s="4"/>
      <c r="AS42" s="4"/>
      <c r="AT42" s="4"/>
      <c r="AU42" s="4"/>
      <c r="AV42" s="4"/>
      <c r="AW42" s="4"/>
      <c r="AX42" s="4"/>
      <c r="AY42" s="4"/>
      <c r="AZ42" s="4"/>
      <c r="BA42" s="4"/>
      <c r="BB42" s="4"/>
      <c r="BC42" s="4"/>
      <c r="BD42" s="4"/>
      <c r="BE42" s="4"/>
      <c r="BF42" s="4"/>
      <c r="BG42" s="4"/>
      <c r="BH42" s="4"/>
      <c r="BI42" s="4"/>
      <c r="BJ42" s="4"/>
      <c r="BK42" s="4"/>
      <c r="BL42" s="4"/>
      <c r="BM42" s="4"/>
      <c r="BN42" s="4"/>
      <c r="BO42" s="4"/>
      <c r="BP42" s="4"/>
      <c r="BQ42" s="4"/>
      <c r="BR42" s="4"/>
      <c r="BS42" s="4"/>
      <c r="BT42" s="4"/>
      <c r="BU42" s="4"/>
      <c r="BV42" s="4"/>
      <c r="BW42" s="4"/>
      <c r="BX42" s="4"/>
    </row>
    <row r="43" spans="1:76" ht="24.95" customHeight="1" x14ac:dyDescent="0.25">
      <c r="A43" s="40">
        <v>21.9</v>
      </c>
      <c r="B43" s="16"/>
      <c r="C43" s="17"/>
      <c r="D43" s="28">
        <f>IF(E43&lt;&gt;"",_xlfn.XLOOKUP(E43,'Parametre Gantt'!$G$3:$G$13,'Parametre Gantt'!$F$3:$F$13,""),0)</f>
        <v>0</v>
      </c>
      <c r="E43" s="17"/>
      <c r="F43" s="59">
        <f>_xlfn.XLOOKUP(E43,'Parametre Gantt'!$G$3:$G$13,'Parametre Gantt'!$H$3:$H$13,"")</f>
        <v>0</v>
      </c>
      <c r="G43" s="18"/>
      <c r="H43" s="18"/>
      <c r="I43" s="97"/>
      <c r="J43" s="21"/>
      <c r="K43" s="36"/>
      <c r="L43" s="18"/>
      <c r="M43" s="18"/>
      <c r="N43" s="27"/>
      <c r="O43" s="36"/>
      <c r="P43" s="24"/>
      <c r="Q43" s="4"/>
      <c r="R43" s="4"/>
      <c r="S43" s="4"/>
      <c r="T43" s="4"/>
      <c r="U43" s="4"/>
      <c r="V43" s="4"/>
      <c r="W43" s="4"/>
      <c r="X43" s="4"/>
      <c r="Y43" s="4"/>
      <c r="Z43" s="4"/>
      <c r="AA43" s="4"/>
      <c r="AB43" s="4"/>
      <c r="AC43" s="4"/>
      <c r="AD43" s="4"/>
      <c r="AE43" s="4"/>
      <c r="AF43" s="4"/>
      <c r="AG43" s="4"/>
      <c r="AH43" s="4"/>
      <c r="AI43" s="4"/>
      <c r="AJ43" s="4"/>
      <c r="AK43" s="4"/>
      <c r="AL43" s="4"/>
      <c r="AM43" s="4"/>
      <c r="AN43" s="4"/>
      <c r="AO43" s="4"/>
      <c r="AP43" s="4"/>
      <c r="AQ43" s="4"/>
      <c r="AR43" s="4"/>
      <c r="AS43" s="4"/>
      <c r="AT43" s="4"/>
      <c r="AU43" s="4"/>
      <c r="AV43" s="4"/>
      <c r="AW43" s="4"/>
      <c r="AX43" s="4"/>
      <c r="AY43" s="4"/>
      <c r="AZ43" s="4"/>
      <c r="BA43" s="4"/>
      <c r="BB43" s="4"/>
      <c r="BC43" s="4"/>
      <c r="BD43" s="4"/>
      <c r="BE43" s="4"/>
      <c r="BF43" s="4"/>
      <c r="BG43" s="4"/>
      <c r="BH43" s="4"/>
      <c r="BI43" s="4"/>
      <c r="BJ43" s="4"/>
      <c r="BK43" s="4"/>
      <c r="BL43" s="4"/>
      <c r="BM43" s="4"/>
      <c r="BN43" s="4"/>
      <c r="BO43" s="4"/>
      <c r="BP43" s="4"/>
      <c r="BQ43" s="4"/>
      <c r="BR43" s="4"/>
      <c r="BS43" s="4"/>
      <c r="BT43" s="4"/>
      <c r="BU43" s="4"/>
      <c r="BV43" s="4"/>
      <c r="BW43" s="4"/>
      <c r="BX43" s="4"/>
    </row>
    <row r="44" spans="1:76" ht="24.75" customHeight="1" x14ac:dyDescent="0.25">
      <c r="A44" s="40">
        <v>21.1</v>
      </c>
      <c r="B44" s="16"/>
      <c r="C44" s="17"/>
      <c r="D44" s="28">
        <f>IF(E44&lt;&gt;"",_xlfn.XLOOKUP(E44,'Parametre Gantt'!$G$3:$G$13,'Parametre Gantt'!$F$3:$F$13,""),0)</f>
        <v>0</v>
      </c>
      <c r="E44" s="17"/>
      <c r="F44" s="59">
        <f>_xlfn.XLOOKUP(E44,'Parametre Gantt'!$G$3:$G$13,'Parametre Gantt'!$H$3:$H$13,"")</f>
        <v>0</v>
      </c>
      <c r="G44" s="18"/>
      <c r="H44" s="18"/>
      <c r="I44" s="97"/>
      <c r="J44" s="21"/>
      <c r="K44" s="36"/>
      <c r="L44" s="18"/>
      <c r="M44" s="18"/>
      <c r="N44" s="27"/>
      <c r="O44" s="36"/>
      <c r="P44" s="24"/>
      <c r="Q44" s="4"/>
      <c r="R44" s="4"/>
      <c r="S44" s="4"/>
      <c r="T44" s="4"/>
      <c r="U44" s="4"/>
      <c r="V44" s="4"/>
      <c r="W44" s="4"/>
      <c r="X44" s="4"/>
      <c r="Y44" s="4"/>
      <c r="Z44" s="4"/>
      <c r="AA44" s="4"/>
      <c r="AB44" s="4"/>
      <c r="AC44" s="4"/>
      <c r="AD44" s="4"/>
      <c r="AE44" s="4"/>
      <c r="AF44" s="4"/>
      <c r="AG44" s="4"/>
      <c r="AH44" s="4"/>
      <c r="AI44" s="4"/>
      <c r="AJ44" s="4"/>
      <c r="AK44" s="4"/>
      <c r="AL44" s="4"/>
      <c r="AM44" s="4"/>
      <c r="AN44" s="4"/>
      <c r="AO44" s="4"/>
      <c r="AP44" s="4"/>
      <c r="AQ44" s="4"/>
      <c r="AR44" s="4"/>
      <c r="AS44" s="4"/>
      <c r="AT44" s="4"/>
      <c r="AU44" s="4"/>
      <c r="AV44" s="4"/>
      <c r="AW44" s="4"/>
      <c r="AX44" s="4"/>
      <c r="AY44" s="4"/>
      <c r="AZ44" s="4"/>
      <c r="BA44" s="4"/>
      <c r="BB44" s="4"/>
      <c r="BC44" s="4"/>
      <c r="BD44" s="4"/>
      <c r="BE44" s="4"/>
      <c r="BF44" s="4"/>
      <c r="BG44" s="4"/>
      <c r="BH44" s="4"/>
      <c r="BI44" s="4"/>
      <c r="BJ44" s="4"/>
      <c r="BK44" s="4"/>
      <c r="BL44" s="4"/>
      <c r="BM44" s="4"/>
      <c r="BN44" s="4"/>
      <c r="BO44" s="4"/>
      <c r="BP44" s="4"/>
      <c r="BQ44" s="4"/>
      <c r="BR44" s="4"/>
      <c r="BS44" s="4"/>
      <c r="BT44" s="4"/>
      <c r="BU44" s="4"/>
      <c r="BV44" s="4"/>
      <c r="BW44" s="4"/>
      <c r="BX44" s="4"/>
    </row>
    <row r="45" spans="1:76" ht="24.75" customHeight="1" x14ac:dyDescent="0.25">
      <c r="A45" s="40">
        <v>21.11</v>
      </c>
      <c r="B45" s="16"/>
      <c r="C45" s="17"/>
      <c r="D45" s="28">
        <f>IF(E45&lt;&gt;"",_xlfn.XLOOKUP(E45,'Parametre Gantt'!$G$3:$G$13,'Parametre Gantt'!$F$3:$F$13,""),0)</f>
        <v>0</v>
      </c>
      <c r="E45" s="17"/>
      <c r="F45" s="59">
        <f>_xlfn.XLOOKUP(E45,'Parametre Gantt'!$G$3:$G$13,'Parametre Gantt'!$H$3:$H$13,"")</f>
        <v>0</v>
      </c>
      <c r="G45" s="18"/>
      <c r="H45" s="18"/>
      <c r="I45" s="97"/>
      <c r="J45" s="21"/>
      <c r="K45" s="36"/>
      <c r="L45" s="18"/>
      <c r="M45" s="18"/>
      <c r="N45" s="27"/>
      <c r="O45" s="36"/>
      <c r="P45" s="24"/>
      <c r="Q45" s="4"/>
      <c r="R45" s="4"/>
      <c r="S45" s="4"/>
      <c r="T45" s="4"/>
      <c r="U45" s="4"/>
      <c r="V45" s="4"/>
      <c r="W45" s="4"/>
      <c r="X45" s="4"/>
      <c r="Y45" s="4"/>
      <c r="Z45" s="4"/>
      <c r="AA45" s="4"/>
      <c r="AB45" s="4"/>
      <c r="AC45" s="4"/>
      <c r="AD45" s="4"/>
      <c r="AE45" s="4"/>
      <c r="AF45" s="4"/>
      <c r="AG45" s="4"/>
      <c r="AH45" s="4"/>
      <c r="AI45" s="4"/>
      <c r="AJ45" s="4"/>
      <c r="AK45" s="4"/>
      <c r="AL45" s="4"/>
      <c r="AM45" s="4"/>
      <c r="AN45" s="4"/>
      <c r="AO45" s="4"/>
      <c r="AP45" s="4"/>
      <c r="AQ45" s="4"/>
      <c r="AR45" s="4"/>
      <c r="AS45" s="4"/>
      <c r="AT45" s="4"/>
      <c r="AU45" s="4"/>
      <c r="AV45" s="4"/>
      <c r="AW45" s="4"/>
      <c r="AX45" s="4"/>
      <c r="AY45" s="4"/>
      <c r="AZ45" s="4"/>
      <c r="BA45" s="4"/>
      <c r="BB45" s="4"/>
      <c r="BC45" s="4"/>
      <c r="BD45" s="4"/>
      <c r="BE45" s="4"/>
      <c r="BF45" s="4"/>
      <c r="BG45" s="4"/>
      <c r="BH45" s="4"/>
      <c r="BI45" s="4"/>
      <c r="BJ45" s="4"/>
      <c r="BK45" s="4"/>
      <c r="BL45" s="4"/>
      <c r="BM45" s="4"/>
      <c r="BN45" s="4"/>
      <c r="BO45" s="4"/>
      <c r="BP45" s="4"/>
      <c r="BQ45" s="4"/>
      <c r="BR45" s="4"/>
      <c r="BS45" s="4"/>
      <c r="BT45" s="4"/>
      <c r="BU45" s="4"/>
      <c r="BV45" s="4"/>
      <c r="BW45" s="4"/>
      <c r="BX45" s="4"/>
    </row>
    <row r="46" spans="1:76" ht="24.75" customHeight="1" x14ac:dyDescent="0.25">
      <c r="A46" s="40">
        <v>21.12</v>
      </c>
      <c r="B46" s="16"/>
      <c r="C46" s="17"/>
      <c r="D46" s="28">
        <f>IF(E46&lt;&gt;"",_xlfn.XLOOKUP(E46,'Parametre Gantt'!$G$3:$G$13,'Parametre Gantt'!$F$3:$F$13,""),0)</f>
        <v>0</v>
      </c>
      <c r="E46" s="17"/>
      <c r="F46" s="59">
        <f>_xlfn.XLOOKUP(E46,'Parametre Gantt'!$G$3:$G$13,'Parametre Gantt'!$H$3:$H$13,"")</f>
        <v>0</v>
      </c>
      <c r="G46" s="18"/>
      <c r="H46" s="18"/>
      <c r="I46" s="97"/>
      <c r="J46" s="21"/>
      <c r="K46" s="36"/>
      <c r="L46" s="18"/>
      <c r="M46" s="18"/>
      <c r="N46" s="27"/>
      <c r="O46" s="36"/>
      <c r="P46" s="24"/>
      <c r="Q46" s="4"/>
      <c r="R46" s="4"/>
      <c r="S46" s="4"/>
      <c r="T46" s="4"/>
      <c r="U46" s="4"/>
      <c r="V46" s="4"/>
      <c r="W46" s="4"/>
      <c r="X46" s="4"/>
      <c r="Y46" s="4"/>
      <c r="Z46" s="4"/>
      <c r="AA46" s="4"/>
      <c r="AB46" s="4"/>
      <c r="AC46" s="4"/>
      <c r="AD46" s="4"/>
      <c r="AE46" s="4"/>
      <c r="AF46" s="4"/>
      <c r="AG46" s="4"/>
      <c r="AH46" s="4"/>
      <c r="AI46" s="4"/>
      <c r="AJ46" s="4"/>
      <c r="AK46" s="4"/>
      <c r="AL46" s="4"/>
      <c r="AM46" s="4"/>
      <c r="AN46" s="4"/>
      <c r="AO46" s="4"/>
      <c r="AP46" s="4"/>
      <c r="AQ46" s="4"/>
      <c r="AR46" s="4"/>
      <c r="AS46" s="4"/>
      <c r="AT46" s="4"/>
      <c r="AU46" s="4"/>
      <c r="AV46" s="4"/>
      <c r="AW46" s="4"/>
      <c r="AX46" s="4"/>
      <c r="AY46" s="4"/>
      <c r="AZ46" s="4"/>
      <c r="BA46" s="4"/>
      <c r="BB46" s="4"/>
      <c r="BC46" s="4"/>
      <c r="BD46" s="4"/>
      <c r="BE46" s="4"/>
      <c r="BF46" s="4"/>
      <c r="BG46" s="4"/>
      <c r="BH46" s="4"/>
      <c r="BI46" s="4"/>
      <c r="BJ46" s="4"/>
      <c r="BK46" s="4"/>
      <c r="BL46" s="4"/>
      <c r="BM46" s="4"/>
      <c r="BN46" s="4"/>
      <c r="BO46" s="4"/>
      <c r="BP46" s="4"/>
      <c r="BQ46" s="4"/>
      <c r="BR46" s="4"/>
      <c r="BS46" s="4"/>
      <c r="BT46" s="4"/>
      <c r="BU46" s="4"/>
      <c r="BV46" s="4"/>
      <c r="BW46" s="4"/>
      <c r="BX46" s="4"/>
    </row>
    <row r="47" spans="1:76" ht="24.75" customHeight="1" x14ac:dyDescent="0.25">
      <c r="A47" s="40">
        <v>21.13</v>
      </c>
      <c r="B47" s="16"/>
      <c r="C47" s="17"/>
      <c r="D47" s="28">
        <f>IF(E47&lt;&gt;"",_xlfn.XLOOKUP(E47,'Parametre Gantt'!$G$3:$G$13,'Parametre Gantt'!$F$3:$F$13,""),0)</f>
        <v>0</v>
      </c>
      <c r="E47" s="17"/>
      <c r="F47" s="59">
        <f>_xlfn.XLOOKUP(E47,'Parametre Gantt'!$G$3:$G$13,'Parametre Gantt'!$H$3:$H$13,"")</f>
        <v>0</v>
      </c>
      <c r="G47" s="18"/>
      <c r="H47" s="18"/>
      <c r="I47" s="97"/>
      <c r="J47" s="21"/>
      <c r="K47" s="36"/>
      <c r="L47" s="18"/>
      <c r="M47" s="18"/>
      <c r="N47" s="27"/>
      <c r="O47" s="36"/>
      <c r="P47" s="24"/>
      <c r="Q47" s="4"/>
      <c r="R47" s="4"/>
      <c r="S47" s="4"/>
      <c r="T47" s="4"/>
      <c r="U47" s="4"/>
      <c r="V47" s="4"/>
      <c r="W47" s="4"/>
      <c r="X47" s="4"/>
      <c r="Y47" s="4"/>
      <c r="Z47" s="4"/>
      <c r="AA47" s="4"/>
      <c r="AB47" s="4"/>
      <c r="AC47" s="4"/>
      <c r="AD47" s="4"/>
      <c r="AE47" s="4"/>
      <c r="AF47" s="4"/>
      <c r="AG47" s="4"/>
      <c r="AH47" s="4"/>
      <c r="AI47" s="4"/>
      <c r="AJ47" s="4"/>
      <c r="AK47" s="4"/>
      <c r="AL47" s="4"/>
      <c r="AM47" s="4"/>
      <c r="AN47" s="4"/>
      <c r="AO47" s="4"/>
      <c r="AP47" s="4"/>
      <c r="AQ47" s="4"/>
      <c r="AR47" s="4"/>
      <c r="AS47" s="4"/>
      <c r="AT47" s="4"/>
      <c r="AU47" s="4"/>
      <c r="AV47" s="4"/>
      <c r="AW47" s="4"/>
      <c r="AX47" s="4"/>
      <c r="AY47" s="4"/>
      <c r="AZ47" s="4"/>
      <c r="BA47" s="4"/>
      <c r="BB47" s="4"/>
      <c r="BC47" s="4"/>
      <c r="BD47" s="4"/>
      <c r="BE47" s="4"/>
      <c r="BF47" s="4"/>
      <c r="BG47" s="4"/>
      <c r="BH47" s="4"/>
      <c r="BI47" s="4"/>
      <c r="BJ47" s="4"/>
      <c r="BK47" s="4"/>
      <c r="BL47" s="4"/>
      <c r="BM47" s="4"/>
      <c r="BN47" s="4"/>
      <c r="BO47" s="4"/>
      <c r="BP47" s="4"/>
      <c r="BQ47" s="4"/>
      <c r="BR47" s="4"/>
      <c r="BS47" s="4"/>
      <c r="BT47" s="4"/>
      <c r="BU47" s="4"/>
      <c r="BV47" s="4"/>
      <c r="BW47" s="4"/>
      <c r="BX47" s="4"/>
    </row>
    <row r="48" spans="1:76" ht="24.75" customHeight="1" x14ac:dyDescent="0.25">
      <c r="A48" s="40">
        <v>21.14</v>
      </c>
      <c r="B48" s="16"/>
      <c r="C48" s="17"/>
      <c r="D48" s="28">
        <f>IF(E48&lt;&gt;"",_xlfn.XLOOKUP(E48,'Parametre Gantt'!$G$3:$G$13,'Parametre Gantt'!$F$3:$F$13,""),0)</f>
        <v>0</v>
      </c>
      <c r="E48" s="17"/>
      <c r="F48" s="59">
        <f>_xlfn.XLOOKUP(E48,'Parametre Gantt'!$G$3:$G$13,'Parametre Gantt'!$H$3:$H$13,"")</f>
        <v>0</v>
      </c>
      <c r="G48" s="18"/>
      <c r="H48" s="18"/>
      <c r="I48" s="97"/>
      <c r="J48" s="21"/>
      <c r="K48" s="36"/>
      <c r="L48" s="18"/>
      <c r="M48" s="18"/>
      <c r="N48" s="27"/>
      <c r="O48" s="36"/>
      <c r="P48" s="24"/>
      <c r="Q48" s="4"/>
      <c r="R48" s="4"/>
      <c r="S48" s="4"/>
      <c r="T48" s="4"/>
      <c r="U48" s="4"/>
      <c r="V48" s="4"/>
      <c r="W48" s="4"/>
      <c r="X48" s="4"/>
      <c r="Y48" s="4"/>
      <c r="Z48" s="4"/>
      <c r="AA48" s="4"/>
      <c r="AB48" s="4"/>
      <c r="AC48" s="4"/>
      <c r="AD48" s="4"/>
      <c r="AE48" s="4"/>
      <c r="AF48" s="4"/>
      <c r="AG48" s="4"/>
      <c r="AH48" s="4"/>
      <c r="AI48" s="4"/>
      <c r="AJ48" s="4"/>
      <c r="AK48" s="4"/>
      <c r="AL48" s="4"/>
      <c r="AM48" s="4"/>
      <c r="AN48" s="4"/>
      <c r="AO48" s="4"/>
      <c r="AP48" s="4"/>
      <c r="AQ48" s="4"/>
      <c r="AR48" s="4"/>
      <c r="AS48" s="4"/>
      <c r="AT48" s="4"/>
      <c r="AU48" s="4"/>
      <c r="AV48" s="4"/>
      <c r="AW48" s="4"/>
      <c r="AX48" s="4"/>
      <c r="AY48" s="4"/>
      <c r="AZ48" s="4"/>
      <c r="BA48" s="4"/>
      <c r="BB48" s="4"/>
      <c r="BC48" s="4"/>
      <c r="BD48" s="4"/>
      <c r="BE48" s="4"/>
      <c r="BF48" s="4"/>
      <c r="BG48" s="4"/>
      <c r="BH48" s="4"/>
      <c r="BI48" s="4"/>
      <c r="BJ48" s="4"/>
      <c r="BK48" s="4"/>
      <c r="BL48" s="4"/>
      <c r="BM48" s="4"/>
      <c r="BN48" s="4"/>
      <c r="BO48" s="4"/>
      <c r="BP48" s="4"/>
      <c r="BQ48" s="4"/>
      <c r="BR48" s="4"/>
      <c r="BS48" s="4"/>
      <c r="BT48" s="4"/>
      <c r="BU48" s="4"/>
      <c r="BV48" s="4"/>
      <c r="BW48" s="4"/>
      <c r="BX48" s="4"/>
    </row>
    <row r="49" spans="1:76" ht="24.75" customHeight="1" x14ac:dyDescent="0.25">
      <c r="A49" s="40">
        <v>21.15</v>
      </c>
      <c r="B49" s="16"/>
      <c r="C49" s="17"/>
      <c r="D49" s="28">
        <f>IF(E49&lt;&gt;"",_xlfn.XLOOKUP(E49,'Parametre Gantt'!$G$3:$G$13,'Parametre Gantt'!$F$3:$F$13,""),0)</f>
        <v>0</v>
      </c>
      <c r="E49" s="17"/>
      <c r="F49" s="59">
        <f>_xlfn.XLOOKUP(E49,'Parametre Gantt'!$G$3:$G$13,'Parametre Gantt'!$H$3:$H$13,"")</f>
        <v>0</v>
      </c>
      <c r="G49" s="18"/>
      <c r="H49" s="18"/>
      <c r="I49" s="97"/>
      <c r="J49" s="21"/>
      <c r="K49" s="36"/>
      <c r="L49" s="18"/>
      <c r="M49" s="18"/>
      <c r="N49" s="27"/>
      <c r="O49" s="36"/>
      <c r="P49" s="24"/>
      <c r="Q49" s="4"/>
      <c r="R49" s="4"/>
      <c r="S49" s="4"/>
      <c r="T49" s="4"/>
      <c r="U49" s="4"/>
      <c r="V49" s="4"/>
      <c r="W49" s="4"/>
      <c r="X49" s="4"/>
      <c r="Y49" s="4"/>
      <c r="Z49" s="4"/>
      <c r="AA49" s="4"/>
      <c r="AB49" s="4"/>
      <c r="AC49" s="4"/>
      <c r="AD49" s="4"/>
      <c r="AE49" s="4"/>
      <c r="AF49" s="4"/>
      <c r="AG49" s="4"/>
      <c r="AH49" s="4"/>
      <c r="AI49" s="4"/>
      <c r="AJ49" s="4"/>
      <c r="AK49" s="4"/>
      <c r="AL49" s="4"/>
      <c r="AM49" s="4"/>
      <c r="AN49" s="4"/>
      <c r="AO49" s="4"/>
      <c r="AP49" s="4"/>
      <c r="AQ49" s="4"/>
      <c r="AR49" s="4"/>
      <c r="AS49" s="4"/>
      <c r="AT49" s="4"/>
      <c r="AU49" s="4"/>
      <c r="AV49" s="4"/>
      <c r="AW49" s="4"/>
      <c r="AX49" s="4"/>
      <c r="AY49" s="4"/>
      <c r="AZ49" s="4"/>
      <c r="BA49" s="4"/>
      <c r="BB49" s="4"/>
      <c r="BC49" s="4"/>
      <c r="BD49" s="4"/>
      <c r="BE49" s="4"/>
      <c r="BF49" s="4"/>
      <c r="BG49" s="4"/>
      <c r="BH49" s="4"/>
      <c r="BI49" s="4"/>
      <c r="BJ49" s="4"/>
      <c r="BK49" s="4"/>
      <c r="BL49" s="4"/>
      <c r="BM49" s="4"/>
      <c r="BN49" s="4"/>
      <c r="BO49" s="4"/>
      <c r="BP49" s="4"/>
      <c r="BQ49" s="4"/>
      <c r="BR49" s="4"/>
      <c r="BS49" s="4"/>
      <c r="BT49" s="4"/>
      <c r="BU49" s="4"/>
      <c r="BV49" s="4"/>
      <c r="BW49" s="4"/>
      <c r="BX49" s="4"/>
    </row>
    <row r="50" spans="1:76" ht="24.75" customHeight="1" x14ac:dyDescent="0.25">
      <c r="A50" s="40">
        <v>21.16</v>
      </c>
      <c r="B50" s="16"/>
      <c r="C50" s="17"/>
      <c r="D50" s="28">
        <f>IF(E50&lt;&gt;"",_xlfn.XLOOKUP(E50,'Parametre Gantt'!$G$3:$G$13,'Parametre Gantt'!$F$3:$F$13,""),0)</f>
        <v>0</v>
      </c>
      <c r="E50" s="17"/>
      <c r="F50" s="59">
        <f>_xlfn.XLOOKUP(E50,'Parametre Gantt'!$G$3:$G$13,'Parametre Gantt'!$H$3:$H$13,"")</f>
        <v>0</v>
      </c>
      <c r="G50" s="18"/>
      <c r="H50" s="18"/>
      <c r="I50" s="97"/>
      <c r="J50" s="21"/>
      <c r="K50" s="36"/>
      <c r="L50" s="18"/>
      <c r="M50" s="18"/>
      <c r="N50" s="27"/>
      <c r="O50" s="36"/>
      <c r="P50" s="24"/>
      <c r="Q50" s="4"/>
      <c r="R50" s="4"/>
      <c r="S50" s="4"/>
      <c r="T50" s="4"/>
      <c r="U50" s="4"/>
      <c r="V50" s="4"/>
      <c r="W50" s="4"/>
      <c r="X50" s="4"/>
      <c r="Y50" s="4"/>
      <c r="Z50" s="4"/>
      <c r="AA50" s="4"/>
      <c r="AB50" s="4"/>
      <c r="AC50" s="4"/>
      <c r="AD50" s="4"/>
      <c r="AE50" s="4"/>
      <c r="AF50" s="4"/>
      <c r="AG50" s="4"/>
      <c r="AH50" s="4"/>
      <c r="AI50" s="4"/>
      <c r="AJ50" s="4"/>
      <c r="AK50" s="4"/>
      <c r="AL50" s="4"/>
      <c r="AM50" s="4"/>
      <c r="AN50" s="4"/>
      <c r="AO50" s="4"/>
      <c r="AP50" s="4"/>
      <c r="AQ50" s="4"/>
      <c r="AR50" s="4"/>
      <c r="AS50" s="4"/>
      <c r="AT50" s="4"/>
      <c r="AU50" s="4"/>
      <c r="AV50" s="4"/>
      <c r="AW50" s="4"/>
      <c r="AX50" s="4"/>
      <c r="AY50" s="4"/>
      <c r="AZ50" s="4"/>
      <c r="BA50" s="4"/>
      <c r="BB50" s="4"/>
      <c r="BC50" s="4"/>
      <c r="BD50" s="4"/>
      <c r="BE50" s="4"/>
      <c r="BF50" s="4"/>
      <c r="BG50" s="4"/>
      <c r="BH50" s="4"/>
      <c r="BI50" s="4"/>
      <c r="BJ50" s="4"/>
      <c r="BK50" s="4"/>
      <c r="BL50" s="4"/>
      <c r="BM50" s="4"/>
      <c r="BN50" s="4"/>
      <c r="BO50" s="4"/>
      <c r="BP50" s="4"/>
      <c r="BQ50" s="4"/>
      <c r="BR50" s="4"/>
      <c r="BS50" s="4"/>
      <c r="BT50" s="4"/>
      <c r="BU50" s="4"/>
      <c r="BV50" s="4"/>
      <c r="BW50" s="4"/>
      <c r="BX50" s="4"/>
    </row>
    <row r="51" spans="1:76" ht="24.95" customHeight="1" x14ac:dyDescent="0.25">
      <c r="A51" s="40">
        <v>21.17</v>
      </c>
      <c r="B51" s="16"/>
      <c r="C51" s="17"/>
      <c r="D51" s="28">
        <f>IF(E51&lt;&gt;"",_xlfn.XLOOKUP(E51,'Parametre Gantt'!$G$3:$G$13,'Parametre Gantt'!$F$3:$F$13,""),0)</f>
        <v>0</v>
      </c>
      <c r="E51" s="17"/>
      <c r="F51" s="59">
        <f>_xlfn.XLOOKUP(E51,'Parametre Gantt'!$G$3:$G$13,'Parametre Gantt'!$H$3:$H$13,"")</f>
        <v>0</v>
      </c>
      <c r="G51" s="18"/>
      <c r="H51" s="18"/>
      <c r="I51" s="97"/>
      <c r="J51" s="21"/>
      <c r="K51" s="36"/>
      <c r="L51" s="18"/>
      <c r="M51" s="18"/>
      <c r="N51" s="27"/>
      <c r="O51" s="36"/>
      <c r="P51" s="24"/>
      <c r="Q51" s="4"/>
      <c r="R51" s="4"/>
      <c r="S51" s="4"/>
      <c r="T51" s="4"/>
      <c r="U51" s="4"/>
      <c r="V51" s="4"/>
      <c r="W51" s="4"/>
      <c r="X51" s="4"/>
      <c r="Y51" s="4"/>
      <c r="Z51" s="4"/>
      <c r="AA51" s="4"/>
      <c r="AB51" s="4"/>
      <c r="AC51" s="4"/>
      <c r="AD51" s="4"/>
      <c r="AE51" s="4"/>
      <c r="AF51" s="4"/>
      <c r="AG51" s="4"/>
      <c r="AH51" s="4"/>
      <c r="AI51" s="4"/>
      <c r="AJ51" s="4"/>
      <c r="AK51" s="4"/>
      <c r="AL51" s="4"/>
      <c r="AM51" s="4"/>
      <c r="AN51" s="4"/>
      <c r="AO51" s="4"/>
      <c r="AP51" s="4"/>
      <c r="AQ51" s="4"/>
      <c r="AR51" s="4"/>
      <c r="AS51" s="4"/>
      <c r="AT51" s="4"/>
      <c r="AU51" s="4"/>
      <c r="AV51" s="4"/>
      <c r="AW51" s="4"/>
      <c r="AX51" s="4"/>
      <c r="AY51" s="4"/>
      <c r="AZ51" s="4"/>
      <c r="BA51" s="4"/>
      <c r="BB51" s="4"/>
      <c r="BC51" s="4"/>
      <c r="BD51" s="4"/>
      <c r="BE51" s="4"/>
      <c r="BF51" s="4"/>
      <c r="BG51" s="4"/>
      <c r="BH51" s="4"/>
      <c r="BI51" s="4"/>
      <c r="BJ51" s="4"/>
      <c r="BK51" s="4"/>
      <c r="BL51" s="4"/>
      <c r="BM51" s="4"/>
      <c r="BN51" s="4"/>
      <c r="BO51" s="4"/>
      <c r="BP51" s="4"/>
      <c r="BQ51" s="4"/>
      <c r="BR51" s="4"/>
      <c r="BS51" s="4"/>
      <c r="BT51" s="4"/>
      <c r="BU51" s="4"/>
      <c r="BV51" s="4"/>
      <c r="BW51" s="4"/>
      <c r="BX51" s="4"/>
    </row>
    <row r="52" spans="1:76" ht="24.95" customHeight="1" x14ac:dyDescent="0.25">
      <c r="A52" s="40">
        <v>21.18</v>
      </c>
      <c r="B52" s="16"/>
      <c r="C52" s="17"/>
      <c r="D52" s="28">
        <f>IF(E52&lt;&gt;"",_xlfn.XLOOKUP(E52,'Parametre Gantt'!$G$3:$G$13,'Parametre Gantt'!$F$3:$F$13,""),0)</f>
        <v>0</v>
      </c>
      <c r="E52" s="17"/>
      <c r="F52" s="59">
        <f>_xlfn.XLOOKUP(E52,'Parametre Gantt'!$G$3:$G$13,'Parametre Gantt'!$H$3:$H$13,"")</f>
        <v>0</v>
      </c>
      <c r="G52" s="18"/>
      <c r="H52" s="18"/>
      <c r="I52" s="97"/>
      <c r="J52" s="21"/>
      <c r="K52" s="36"/>
      <c r="L52" s="18"/>
      <c r="M52" s="18"/>
      <c r="N52" s="27"/>
      <c r="O52" s="36"/>
      <c r="P52" s="24"/>
      <c r="Q52" s="4"/>
      <c r="R52" s="4"/>
      <c r="S52" s="4"/>
      <c r="T52" s="4"/>
      <c r="U52" s="4"/>
      <c r="V52" s="4"/>
      <c r="W52" s="4"/>
      <c r="X52" s="4"/>
      <c r="Y52" s="4"/>
      <c r="Z52" s="4"/>
      <c r="AA52" s="4"/>
      <c r="AB52" s="4"/>
      <c r="AC52" s="4"/>
      <c r="AD52" s="4"/>
      <c r="AE52" s="4"/>
      <c r="AF52" s="4"/>
      <c r="AG52" s="4"/>
      <c r="AH52" s="4"/>
      <c r="AI52" s="4"/>
      <c r="AJ52" s="4"/>
      <c r="AK52" s="4"/>
      <c r="AL52" s="4"/>
      <c r="AM52" s="4"/>
      <c r="AN52" s="4"/>
      <c r="AO52" s="4"/>
      <c r="AP52" s="4"/>
      <c r="AQ52" s="4"/>
      <c r="AR52" s="4"/>
      <c r="AS52" s="4"/>
      <c r="AT52" s="4"/>
      <c r="AU52" s="4"/>
      <c r="AV52" s="4"/>
      <c r="AW52" s="4"/>
      <c r="AX52" s="4"/>
      <c r="AY52" s="4"/>
      <c r="AZ52" s="4"/>
      <c r="BA52" s="4"/>
      <c r="BB52" s="4"/>
      <c r="BC52" s="4"/>
      <c r="BD52" s="4"/>
      <c r="BE52" s="4"/>
      <c r="BF52" s="4"/>
      <c r="BG52" s="4"/>
      <c r="BH52" s="4"/>
      <c r="BI52" s="4"/>
      <c r="BJ52" s="4"/>
      <c r="BK52" s="4"/>
      <c r="BL52" s="4"/>
      <c r="BM52" s="4"/>
      <c r="BN52" s="4"/>
      <c r="BO52" s="4"/>
      <c r="BP52" s="4"/>
      <c r="BQ52" s="4"/>
      <c r="BR52" s="4"/>
      <c r="BS52" s="4"/>
      <c r="BT52" s="4"/>
      <c r="BU52" s="4"/>
      <c r="BV52" s="4"/>
      <c r="BW52" s="4"/>
      <c r="BX52" s="4"/>
    </row>
    <row r="53" spans="1:76" ht="24.95" customHeight="1" x14ac:dyDescent="0.25">
      <c r="A53" s="40"/>
      <c r="B53" s="16"/>
      <c r="C53" s="17"/>
      <c r="D53" s="28">
        <f>IF(E53&lt;&gt;"",_xlfn.XLOOKUP(E53,'Parametre Gantt'!$G$3:$G$13,'Parametre Gantt'!$F$3:$F$13,""),0)</f>
        <v>0</v>
      </c>
      <c r="E53" s="17"/>
      <c r="F53" s="59">
        <f>_xlfn.XLOOKUP(E53,'Parametre Gantt'!$G$3:$G$13,'Parametre Gantt'!$H$3:$H$13,"")</f>
        <v>0</v>
      </c>
      <c r="G53" s="18"/>
      <c r="H53" s="18"/>
      <c r="I53" s="97"/>
      <c r="J53" s="21"/>
      <c r="K53" s="36" t="str">
        <f t="shared" si="36"/>
        <v/>
      </c>
      <c r="L53" s="18"/>
      <c r="M53" s="18"/>
      <c r="N53" s="27"/>
      <c r="O53" s="36" t="str">
        <f t="shared" si="37"/>
        <v/>
      </c>
      <c r="P53" s="24"/>
      <c r="Q53" s="4"/>
      <c r="R53" s="4"/>
      <c r="S53" s="4"/>
      <c r="T53" s="4"/>
      <c r="U53" s="4"/>
      <c r="V53" s="4"/>
      <c r="W53" s="4"/>
      <c r="X53" s="4"/>
      <c r="Y53" s="4"/>
      <c r="Z53" s="4"/>
      <c r="AA53" s="4"/>
      <c r="AB53" s="4"/>
      <c r="AC53" s="4"/>
      <c r="AD53" s="4"/>
      <c r="AE53" s="4"/>
      <c r="AF53" s="4"/>
      <c r="AG53" s="4"/>
      <c r="AH53" s="4"/>
      <c r="AI53" s="4"/>
      <c r="AJ53" s="4"/>
      <c r="AK53" s="4"/>
      <c r="AL53" s="4"/>
      <c r="AM53" s="4"/>
      <c r="AN53" s="4"/>
      <c r="AO53" s="4"/>
      <c r="AP53" s="4"/>
      <c r="AQ53" s="4"/>
      <c r="AR53" s="4"/>
      <c r="AS53" s="4"/>
      <c r="AT53" s="4"/>
      <c r="AU53" s="4"/>
      <c r="AV53" s="4"/>
      <c r="AW53" s="4"/>
      <c r="AX53" s="4"/>
      <c r="AY53" s="4"/>
      <c r="AZ53" s="4"/>
      <c r="BA53" s="4"/>
      <c r="BB53" s="4"/>
      <c r="BC53" s="4"/>
      <c r="BD53" s="4"/>
      <c r="BE53" s="4"/>
      <c r="BF53" s="4"/>
      <c r="BG53" s="4"/>
      <c r="BH53" s="4"/>
      <c r="BI53" s="4"/>
      <c r="BJ53" s="4"/>
      <c r="BK53" s="4"/>
      <c r="BL53" s="4"/>
      <c r="BM53" s="4"/>
      <c r="BN53" s="4"/>
      <c r="BO53" s="4"/>
      <c r="BP53" s="4"/>
      <c r="BQ53" s="4"/>
      <c r="BR53" s="4"/>
      <c r="BS53" s="4"/>
      <c r="BT53" s="4"/>
      <c r="BU53" s="4"/>
      <c r="BV53" s="4"/>
      <c r="BW53" s="4"/>
      <c r="BX53" s="4"/>
    </row>
    <row r="54" spans="1:76" ht="24.95" customHeight="1" x14ac:dyDescent="0.25">
      <c r="A54" s="40"/>
      <c r="B54" s="16"/>
      <c r="C54" s="17"/>
      <c r="D54" s="28">
        <f>IF(E54&lt;&gt;"",_xlfn.XLOOKUP(E54,'Parametre Gantt'!$G$3:$G$13,'Parametre Gantt'!$F$3:$F$13,""),0)</f>
        <v>0</v>
      </c>
      <c r="E54" s="17"/>
      <c r="F54" s="59">
        <f>_xlfn.XLOOKUP(E54,'Parametre Gantt'!$G$3:$G$13,'Parametre Gantt'!$H$3:$H$13,"")</f>
        <v>0</v>
      </c>
      <c r="G54" s="18"/>
      <c r="H54" s="18"/>
      <c r="I54" s="97"/>
      <c r="J54" s="21"/>
      <c r="K54" s="36"/>
      <c r="L54" s="18"/>
      <c r="M54" s="18"/>
      <c r="N54" s="27"/>
      <c r="O54" s="36"/>
      <c r="P54" s="24"/>
      <c r="Q54" s="4"/>
      <c r="R54" s="4"/>
      <c r="S54" s="4"/>
      <c r="T54" s="4"/>
      <c r="U54" s="4"/>
      <c r="V54" s="4"/>
      <c r="W54" s="4"/>
      <c r="X54" s="4"/>
      <c r="Y54" s="4"/>
      <c r="Z54" s="4"/>
      <c r="AA54" s="4"/>
      <c r="AB54" s="4"/>
      <c r="AC54" s="4"/>
      <c r="AD54" s="4"/>
      <c r="AE54" s="4"/>
      <c r="AF54" s="4"/>
      <c r="AG54" s="4"/>
      <c r="AH54" s="4"/>
      <c r="AI54" s="4"/>
      <c r="AJ54" s="4"/>
      <c r="AK54" s="4"/>
      <c r="AL54" s="4"/>
      <c r="AM54" s="4"/>
      <c r="AN54" s="4"/>
      <c r="AO54" s="4"/>
      <c r="AP54" s="4"/>
      <c r="AQ54" s="4"/>
      <c r="AR54" s="4"/>
      <c r="AS54" s="4"/>
      <c r="AT54" s="4"/>
      <c r="AU54" s="4"/>
      <c r="AV54" s="4"/>
      <c r="AW54" s="4"/>
      <c r="AX54" s="4"/>
      <c r="AY54" s="4"/>
      <c r="AZ54" s="4"/>
      <c r="BA54" s="4"/>
      <c r="BB54" s="4"/>
      <c r="BC54" s="4"/>
      <c r="BD54" s="4"/>
      <c r="BE54" s="4"/>
      <c r="BF54" s="4"/>
      <c r="BG54" s="4"/>
      <c r="BH54" s="4"/>
      <c r="BI54" s="4"/>
      <c r="BJ54" s="4"/>
      <c r="BK54" s="4"/>
      <c r="BL54" s="4"/>
      <c r="BM54" s="4"/>
      <c r="BN54" s="4"/>
      <c r="BO54" s="4"/>
      <c r="BP54" s="4"/>
      <c r="BQ54" s="4"/>
      <c r="BR54" s="4"/>
      <c r="BS54" s="4"/>
      <c r="BT54" s="4"/>
      <c r="BU54" s="4"/>
      <c r="BV54" s="4"/>
      <c r="BW54" s="4"/>
      <c r="BX54" s="4"/>
    </row>
    <row r="55" spans="1:76" ht="24.95" customHeight="1" x14ac:dyDescent="0.25">
      <c r="A55" s="40"/>
      <c r="B55" s="16"/>
      <c r="C55" s="17"/>
      <c r="D55" s="28">
        <f>IF(E55&lt;&gt;"",_xlfn.XLOOKUP(E55,'Parametre Gantt'!$G$3:$G$13,'Parametre Gantt'!$F$3:$F$13,""),0)</f>
        <v>0</v>
      </c>
      <c r="E55" s="17"/>
      <c r="F55" s="59">
        <f>_xlfn.XLOOKUP(E55,'Parametre Gantt'!$G$3:$G$13,'Parametre Gantt'!$H$3:$H$13,"")</f>
        <v>0</v>
      </c>
      <c r="G55" s="18"/>
      <c r="H55" s="18"/>
      <c r="I55" s="97"/>
      <c r="J55" s="21"/>
      <c r="K55" s="36" t="str">
        <f t="shared" si="36"/>
        <v/>
      </c>
      <c r="L55" s="18"/>
      <c r="M55" s="18"/>
      <c r="N55" s="27"/>
      <c r="O55" s="36" t="str">
        <f t="shared" si="37"/>
        <v/>
      </c>
      <c r="P55" s="24"/>
      <c r="Q55" s="4"/>
      <c r="R55" s="4"/>
      <c r="S55" s="4"/>
      <c r="T55" s="4"/>
      <c r="U55" s="4"/>
      <c r="V55" s="4"/>
      <c r="W55" s="4"/>
      <c r="X55" s="4"/>
      <c r="Y55" s="4"/>
      <c r="Z55" s="4"/>
      <c r="AA55" s="4"/>
      <c r="AB55" s="4"/>
      <c r="AC55" s="4"/>
      <c r="AD55" s="4"/>
      <c r="AE55" s="4"/>
      <c r="AF55" s="4"/>
      <c r="AG55" s="4"/>
      <c r="AH55" s="4"/>
      <c r="AI55" s="4"/>
      <c r="AJ55" s="4"/>
      <c r="AK55" s="4"/>
      <c r="AL55" s="4"/>
      <c r="AM55" s="4"/>
      <c r="AN55" s="4"/>
      <c r="AO55" s="4"/>
      <c r="AP55" s="4"/>
      <c r="AQ55" s="4"/>
      <c r="AR55" s="4"/>
      <c r="AS55" s="4"/>
      <c r="AT55" s="4"/>
      <c r="AU55" s="4"/>
      <c r="AV55" s="4"/>
      <c r="AW55" s="4"/>
      <c r="AX55" s="4"/>
      <c r="AY55" s="4"/>
      <c r="AZ55" s="4"/>
      <c r="BA55" s="4"/>
      <c r="BB55" s="4"/>
      <c r="BC55" s="4"/>
      <c r="BD55" s="4"/>
      <c r="BE55" s="4"/>
      <c r="BF55" s="4"/>
      <c r="BG55" s="4"/>
      <c r="BH55" s="4"/>
      <c r="BI55" s="4"/>
      <c r="BJ55" s="4"/>
      <c r="BK55" s="4"/>
      <c r="BL55" s="4"/>
      <c r="BM55" s="4"/>
      <c r="BN55" s="4"/>
      <c r="BO55" s="4"/>
      <c r="BP55" s="4"/>
      <c r="BQ55" s="4"/>
      <c r="BR55" s="4"/>
      <c r="BS55" s="4"/>
      <c r="BT55" s="4"/>
      <c r="BU55" s="4"/>
      <c r="BV55" s="4"/>
      <c r="BW55" s="4"/>
      <c r="BX55" s="4"/>
    </row>
    <row r="56" spans="1:76" ht="24.95" customHeight="1" x14ac:dyDescent="0.25">
      <c r="A56" s="40"/>
      <c r="B56" s="16"/>
      <c r="C56" s="17"/>
      <c r="D56" s="28">
        <f>IF(E56&lt;&gt;"",_xlfn.XLOOKUP(E56,'Parametre Gantt'!$G$3:$G$13,'Parametre Gantt'!$F$3:$F$13,""),0)</f>
        <v>0</v>
      </c>
      <c r="E56" s="17"/>
      <c r="F56" s="59">
        <f>_xlfn.XLOOKUP(E56,'Parametre Gantt'!$G$3:$G$13,'Parametre Gantt'!$H$3:$H$13,"")</f>
        <v>0</v>
      </c>
      <c r="G56" s="18"/>
      <c r="H56" s="18"/>
      <c r="I56" s="97"/>
      <c r="J56" s="21"/>
      <c r="K56" s="36" t="str">
        <f t="shared" si="36"/>
        <v/>
      </c>
      <c r="L56" s="18"/>
      <c r="M56" s="18"/>
      <c r="N56" s="27"/>
      <c r="O56" s="36" t="str">
        <f t="shared" si="37"/>
        <v/>
      </c>
      <c r="P56" s="24"/>
      <c r="Q56" s="4"/>
      <c r="R56" s="4"/>
      <c r="S56" s="4"/>
      <c r="T56" s="4"/>
      <c r="U56" s="4"/>
      <c r="V56" s="4"/>
      <c r="W56" s="4"/>
      <c r="X56" s="4"/>
      <c r="Y56" s="4"/>
      <c r="Z56" s="4"/>
      <c r="AA56" s="4"/>
      <c r="AB56" s="4"/>
      <c r="AC56" s="4"/>
      <c r="AD56" s="4"/>
      <c r="AE56" s="4"/>
      <c r="AF56" s="4"/>
      <c r="AG56" s="4"/>
      <c r="AH56" s="4"/>
      <c r="AI56" s="4"/>
      <c r="AJ56" s="4"/>
      <c r="AK56" s="4"/>
      <c r="AL56" s="4"/>
      <c r="AM56" s="4"/>
      <c r="AN56" s="4"/>
      <c r="AO56" s="4"/>
      <c r="AP56" s="4"/>
      <c r="AQ56" s="4"/>
      <c r="AR56" s="4"/>
      <c r="AS56" s="4"/>
      <c r="AT56" s="4"/>
      <c r="AU56" s="4"/>
      <c r="AV56" s="4"/>
      <c r="AW56" s="4"/>
      <c r="AX56" s="4"/>
      <c r="AY56" s="4"/>
      <c r="AZ56" s="4"/>
      <c r="BA56" s="4"/>
      <c r="BB56" s="4"/>
      <c r="BC56" s="4"/>
      <c r="BD56" s="4"/>
      <c r="BE56" s="4"/>
      <c r="BF56" s="4"/>
      <c r="BG56" s="4"/>
      <c r="BH56" s="4"/>
      <c r="BI56" s="4"/>
      <c r="BJ56" s="4"/>
      <c r="BK56" s="4"/>
      <c r="BL56" s="4"/>
      <c r="BM56" s="4"/>
      <c r="BN56" s="4"/>
      <c r="BO56" s="4"/>
      <c r="BP56" s="4"/>
      <c r="BQ56" s="4"/>
      <c r="BR56" s="4"/>
      <c r="BS56" s="4"/>
      <c r="BT56" s="4"/>
      <c r="BU56" s="4"/>
      <c r="BV56" s="4"/>
      <c r="BW56" s="4"/>
      <c r="BX56" s="4"/>
    </row>
    <row r="57" spans="1:76" ht="24.95" customHeight="1" x14ac:dyDescent="0.25">
      <c r="A57" s="40"/>
      <c r="B57" s="16"/>
      <c r="C57" s="17"/>
      <c r="D57" s="28">
        <f>IF(E57&lt;&gt;"",_xlfn.XLOOKUP(E57,'Parametre Gantt'!$G$3:$G$13,'Parametre Gantt'!$F$3:$F$13,""),0)</f>
        <v>0</v>
      </c>
      <c r="E57" s="17"/>
      <c r="F57" s="59">
        <f>_xlfn.XLOOKUP(E57,'Parametre Gantt'!$G$3:$G$13,'Parametre Gantt'!$H$3:$H$13,"")</f>
        <v>0</v>
      </c>
      <c r="G57" s="18"/>
      <c r="H57" s="18"/>
      <c r="I57" s="97"/>
      <c r="J57" s="21"/>
      <c r="K57" s="36" t="str">
        <f t="shared" si="36"/>
        <v/>
      </c>
      <c r="L57" s="18"/>
      <c r="M57" s="18"/>
      <c r="N57" s="27"/>
      <c r="O57" s="36" t="str">
        <f t="shared" si="37"/>
        <v/>
      </c>
      <c r="P57" s="24"/>
      <c r="Q57" s="4"/>
      <c r="R57" s="4"/>
      <c r="S57" s="4"/>
      <c r="T57" s="4"/>
      <c r="U57" s="4"/>
      <c r="V57" s="4"/>
      <c r="W57" s="4"/>
      <c r="X57" s="4"/>
      <c r="Y57" s="4"/>
      <c r="Z57" s="4"/>
      <c r="AA57" s="4"/>
      <c r="AB57" s="4"/>
      <c r="AC57" s="4"/>
      <c r="AD57" s="4"/>
      <c r="AE57" s="4"/>
      <c r="AF57" s="4"/>
      <c r="AG57" s="4"/>
      <c r="AH57" s="4"/>
      <c r="AI57" s="4"/>
      <c r="AJ57" s="4"/>
      <c r="AK57" s="4"/>
      <c r="AL57" s="4"/>
      <c r="AM57" s="4"/>
      <c r="AN57" s="4"/>
      <c r="AO57" s="4"/>
      <c r="AP57" s="4"/>
      <c r="AQ57" s="4"/>
      <c r="AR57" s="4"/>
      <c r="AS57" s="4"/>
      <c r="AT57" s="4"/>
      <c r="AU57" s="4"/>
      <c r="AV57" s="4"/>
      <c r="AW57" s="4"/>
      <c r="AX57" s="4"/>
      <c r="AY57" s="4"/>
      <c r="AZ57" s="4"/>
      <c r="BA57" s="4"/>
      <c r="BB57" s="4"/>
      <c r="BC57" s="4"/>
      <c r="BD57" s="4"/>
      <c r="BE57" s="4"/>
      <c r="BF57" s="4"/>
      <c r="BG57" s="4"/>
      <c r="BH57" s="4"/>
      <c r="BI57" s="4"/>
      <c r="BJ57" s="4"/>
      <c r="BK57" s="4"/>
      <c r="BL57" s="4"/>
      <c r="BM57" s="4"/>
      <c r="BN57" s="4"/>
      <c r="BO57" s="4"/>
      <c r="BP57" s="4"/>
      <c r="BQ57" s="4"/>
      <c r="BR57" s="4"/>
      <c r="BS57" s="4"/>
      <c r="BT57" s="4"/>
      <c r="BU57" s="4"/>
      <c r="BV57" s="4"/>
      <c r="BW57" s="4"/>
      <c r="BX57" s="4"/>
    </row>
    <row r="58" spans="1:76" x14ac:dyDescent="0.25">
      <c r="A58" s="53"/>
      <c r="B58" s="53"/>
      <c r="C58" s="53"/>
      <c r="D58" s="54"/>
      <c r="E58" s="53"/>
      <c r="F58" s="55"/>
      <c r="G58" s="53"/>
      <c r="H58" s="53"/>
      <c r="I58" s="53"/>
      <c r="J58" s="53"/>
      <c r="K58" s="56">
        <f>SUM(K14:K57)</f>
        <v>3</v>
      </c>
      <c r="L58" s="53"/>
      <c r="M58" s="53"/>
      <c r="N58" s="53">
        <f>SUM(N14:N57)</f>
        <v>0</v>
      </c>
      <c r="O58" s="56">
        <f>SUM(O14:O57)</f>
        <v>1</v>
      </c>
      <c r="P58" s="53"/>
      <c r="Q58" s="57" t="str">
        <f t="shared" ref="Q58:AS58" ca="1" si="38">IF(Q9=TODAY(),"TD","")</f>
        <v/>
      </c>
      <c r="R58" s="57" t="str">
        <f t="shared" ca="1" si="38"/>
        <v/>
      </c>
      <c r="S58" s="57" t="str">
        <f t="shared" ca="1" si="38"/>
        <v/>
      </c>
      <c r="T58" s="57" t="str">
        <f t="shared" ca="1" si="38"/>
        <v/>
      </c>
      <c r="U58" s="57" t="str">
        <f t="shared" ca="1" si="38"/>
        <v>TD</v>
      </c>
      <c r="V58" s="57" t="str">
        <f t="shared" ca="1" si="38"/>
        <v/>
      </c>
      <c r="W58" s="57" t="str">
        <f t="shared" ca="1" si="38"/>
        <v/>
      </c>
      <c r="X58" s="57" t="str">
        <f t="shared" ca="1" si="38"/>
        <v/>
      </c>
      <c r="Y58" s="57" t="str">
        <f t="shared" ca="1" si="38"/>
        <v/>
      </c>
      <c r="Z58" s="57" t="str">
        <f t="shared" ca="1" si="38"/>
        <v/>
      </c>
      <c r="AA58" s="57" t="str">
        <f t="shared" ca="1" si="38"/>
        <v/>
      </c>
      <c r="AB58" s="57" t="str">
        <f t="shared" ca="1" si="38"/>
        <v/>
      </c>
      <c r="AC58" s="57" t="str">
        <f t="shared" ca="1" si="38"/>
        <v/>
      </c>
      <c r="AD58" s="57" t="str">
        <f t="shared" ca="1" si="38"/>
        <v/>
      </c>
      <c r="AE58" s="57" t="str">
        <f t="shared" ca="1" si="38"/>
        <v/>
      </c>
      <c r="AF58" s="57" t="str">
        <f t="shared" ca="1" si="38"/>
        <v/>
      </c>
      <c r="AG58" s="57" t="str">
        <f t="shared" ca="1" si="38"/>
        <v/>
      </c>
      <c r="AH58" s="57" t="str">
        <f t="shared" ca="1" si="38"/>
        <v/>
      </c>
      <c r="AI58" s="57" t="str">
        <f t="shared" ca="1" si="38"/>
        <v/>
      </c>
      <c r="AJ58" s="57" t="str">
        <f t="shared" ca="1" si="38"/>
        <v/>
      </c>
      <c r="AK58" s="57" t="str">
        <f t="shared" ca="1" si="38"/>
        <v/>
      </c>
      <c r="AL58" s="57" t="str">
        <f t="shared" ca="1" si="38"/>
        <v/>
      </c>
      <c r="AM58" s="57" t="str">
        <f t="shared" ca="1" si="38"/>
        <v/>
      </c>
      <c r="AN58" s="57" t="str">
        <f t="shared" ca="1" si="38"/>
        <v/>
      </c>
      <c r="AO58" s="57" t="str">
        <f t="shared" ca="1" si="38"/>
        <v/>
      </c>
      <c r="AP58" s="57" t="str">
        <f t="shared" ca="1" si="38"/>
        <v/>
      </c>
      <c r="AQ58" s="57" t="str">
        <f t="shared" ca="1" si="38"/>
        <v/>
      </c>
      <c r="AR58" s="57" t="str">
        <f t="shared" ca="1" si="38"/>
        <v/>
      </c>
      <c r="AS58" s="57" t="str">
        <f t="shared" ca="1" si="38"/>
        <v/>
      </c>
      <c r="AT58" s="57" t="str">
        <f ca="1">IF(AT9=TODAY(),"TD","")</f>
        <v/>
      </c>
      <c r="AU58" s="57" t="str">
        <f t="shared" ref="AU58:BX58" ca="1" si="39">IF(AU9=TODAY(),"TD","")</f>
        <v/>
      </c>
      <c r="AV58" s="57" t="str">
        <f t="shared" ca="1" si="39"/>
        <v/>
      </c>
      <c r="AW58" s="57" t="str">
        <f t="shared" ca="1" si="39"/>
        <v/>
      </c>
      <c r="AX58" s="57" t="str">
        <f t="shared" ca="1" si="39"/>
        <v/>
      </c>
      <c r="AY58" s="57" t="str">
        <f t="shared" ca="1" si="39"/>
        <v/>
      </c>
      <c r="AZ58" s="57" t="str">
        <f t="shared" ca="1" si="39"/>
        <v/>
      </c>
      <c r="BA58" s="57" t="str">
        <f t="shared" ca="1" si="39"/>
        <v/>
      </c>
      <c r="BB58" s="57" t="str">
        <f t="shared" ca="1" si="39"/>
        <v/>
      </c>
      <c r="BC58" s="57" t="str">
        <f t="shared" ca="1" si="39"/>
        <v/>
      </c>
      <c r="BD58" s="57" t="str">
        <f t="shared" ca="1" si="39"/>
        <v/>
      </c>
      <c r="BE58" s="57" t="str">
        <f t="shared" ca="1" si="39"/>
        <v/>
      </c>
      <c r="BF58" s="57" t="str">
        <f t="shared" ca="1" si="39"/>
        <v/>
      </c>
      <c r="BG58" s="57" t="str">
        <f t="shared" ca="1" si="39"/>
        <v/>
      </c>
      <c r="BH58" s="57" t="str">
        <f t="shared" ca="1" si="39"/>
        <v/>
      </c>
      <c r="BI58" s="57" t="str">
        <f t="shared" ca="1" si="39"/>
        <v/>
      </c>
      <c r="BJ58" s="57" t="str">
        <f t="shared" ca="1" si="39"/>
        <v/>
      </c>
      <c r="BK58" s="57" t="str">
        <f t="shared" ca="1" si="39"/>
        <v/>
      </c>
      <c r="BL58" s="57" t="str">
        <f t="shared" ca="1" si="39"/>
        <v/>
      </c>
      <c r="BM58" s="57" t="str">
        <f t="shared" ca="1" si="39"/>
        <v/>
      </c>
      <c r="BN58" s="57" t="str">
        <f t="shared" ca="1" si="39"/>
        <v/>
      </c>
      <c r="BO58" s="57" t="str">
        <f t="shared" ca="1" si="39"/>
        <v/>
      </c>
      <c r="BP58" s="57" t="str">
        <f t="shared" ca="1" si="39"/>
        <v/>
      </c>
      <c r="BQ58" s="57" t="str">
        <f t="shared" ca="1" si="39"/>
        <v/>
      </c>
      <c r="BR58" s="57" t="str">
        <f t="shared" ca="1" si="39"/>
        <v/>
      </c>
      <c r="BS58" s="57" t="str">
        <f t="shared" ca="1" si="39"/>
        <v/>
      </c>
      <c r="BT58" s="57" t="str">
        <f t="shared" ca="1" si="39"/>
        <v/>
      </c>
      <c r="BU58" s="57" t="str">
        <f t="shared" ca="1" si="39"/>
        <v/>
      </c>
      <c r="BV58" s="57" t="str">
        <f t="shared" ca="1" si="39"/>
        <v/>
      </c>
      <c r="BW58" s="57" t="str">
        <f t="shared" ca="1" si="39"/>
        <v/>
      </c>
      <c r="BX58" s="58" t="str">
        <f t="shared" ca="1" si="39"/>
        <v/>
      </c>
    </row>
    <row r="60" spans="1:76" x14ac:dyDescent="0.25">
      <c r="C60" s="64"/>
    </row>
  </sheetData>
  <mergeCells count="103">
    <mergeCell ref="B2:E3"/>
    <mergeCell ref="L12:M12"/>
    <mergeCell ref="BE8:BI8"/>
    <mergeCell ref="BD9:BD11"/>
    <mergeCell ref="BE9:BE11"/>
    <mergeCell ref="BF9:BF11"/>
    <mergeCell ref="BG9:BG11"/>
    <mergeCell ref="BH9:BH11"/>
    <mergeCell ref="AT9:AT11"/>
    <mergeCell ref="AS9:AS11"/>
    <mergeCell ref="AP9:AP11"/>
    <mergeCell ref="AQ9:AQ11"/>
    <mergeCell ref="AR9:AR11"/>
    <mergeCell ref="AJ9:AJ11"/>
    <mergeCell ref="AI2:BX3"/>
    <mergeCell ref="BT9:BT11"/>
    <mergeCell ref="BU9:BU11"/>
    <mergeCell ref="BV9:BV11"/>
    <mergeCell ref="BW9:BW11"/>
    <mergeCell ref="BX9:BX11"/>
    <mergeCell ref="BO8:BS8"/>
    <mergeCell ref="BO9:BO11"/>
    <mergeCell ref="BP9:BP11"/>
    <mergeCell ref="BJ8:BN8"/>
    <mergeCell ref="B5:C5"/>
    <mergeCell ref="B6:C6"/>
    <mergeCell ref="BL9:BL11"/>
    <mergeCell ref="BM9:BM11"/>
    <mergeCell ref="BN9:BN11"/>
    <mergeCell ref="BA9:BA11"/>
    <mergeCell ref="AV9:AV11"/>
    <mergeCell ref="AK9:AK11"/>
    <mergeCell ref="AL9:AL11"/>
    <mergeCell ref="AM9:AM11"/>
    <mergeCell ref="AN9:AN11"/>
    <mergeCell ref="AO9:AO11"/>
    <mergeCell ref="BK9:BK11"/>
    <mergeCell ref="BB9:BB11"/>
    <mergeCell ref="BC9:BC11"/>
    <mergeCell ref="AP8:AT8"/>
    <mergeCell ref="AU8:AY8"/>
    <mergeCell ref="AZ8:BD8"/>
    <mergeCell ref="Q5:Y5"/>
    <mergeCell ref="Z5:AC5"/>
    <mergeCell ref="AD5:AI5"/>
    <mergeCell ref="AM5:BL5"/>
    <mergeCell ref="Q13:U13"/>
    <mergeCell ref="V13:Z13"/>
    <mergeCell ref="AA13:AE13"/>
    <mergeCell ref="AF13:AJ13"/>
    <mergeCell ref="AK13:AO13"/>
    <mergeCell ref="AP13:AT13"/>
    <mergeCell ref="B8:C8"/>
    <mergeCell ref="Q9:Q11"/>
    <mergeCell ref="R9:R11"/>
    <mergeCell ref="S9:S11"/>
    <mergeCell ref="T9:T11"/>
    <mergeCell ref="AE9:AE11"/>
    <mergeCell ref="AF9:AF11"/>
    <mergeCell ref="AG9:AG11"/>
    <mergeCell ref="AH9:AH11"/>
    <mergeCell ref="Q8:U8"/>
    <mergeCell ref="V8:Z8"/>
    <mergeCell ref="AA8:AE8"/>
    <mergeCell ref="AF8:AJ8"/>
    <mergeCell ref="B12:E12"/>
    <mergeCell ref="C10:M10"/>
    <mergeCell ref="G12:I12"/>
    <mergeCell ref="BQ9:BQ11"/>
    <mergeCell ref="BR9:BR11"/>
    <mergeCell ref="BS9:BS11"/>
    <mergeCell ref="Z9:Z11"/>
    <mergeCell ref="AA9:AA11"/>
    <mergeCell ref="AB9:AB11"/>
    <mergeCell ref="AC9:AC11"/>
    <mergeCell ref="AD9:AD11"/>
    <mergeCell ref="U9:U11"/>
    <mergeCell ref="V9:V11"/>
    <mergeCell ref="BJ9:BJ11"/>
    <mergeCell ref="Z4:AC4"/>
    <mergeCell ref="AD4:AI4"/>
    <mergeCell ref="Q6:Y6"/>
    <mergeCell ref="Z6:AD6"/>
    <mergeCell ref="BT8:BX8"/>
    <mergeCell ref="BO13:BS13"/>
    <mergeCell ref="BT13:BX13"/>
    <mergeCell ref="H2:U3"/>
    <mergeCell ref="BS6:BT6"/>
    <mergeCell ref="W9:W11"/>
    <mergeCell ref="X9:X11"/>
    <mergeCell ref="Y9:Y11"/>
    <mergeCell ref="AI9:AI11"/>
    <mergeCell ref="AU13:AY13"/>
    <mergeCell ref="AZ13:BD13"/>
    <mergeCell ref="BI9:BI11"/>
    <mergeCell ref="AW9:AW11"/>
    <mergeCell ref="AX9:AX11"/>
    <mergeCell ref="AY9:AY11"/>
    <mergeCell ref="AZ9:AZ11"/>
    <mergeCell ref="BE13:BI13"/>
    <mergeCell ref="AU9:AU11"/>
    <mergeCell ref="BJ13:BN13"/>
    <mergeCell ref="AK8:AO8"/>
  </mergeCells>
  <conditionalFormatting sqref="A14:A57">
    <cfRule type="expression" dxfId="65" priority="13">
      <formula>AND($Z$6=F14,F14&lt;&gt;0,F14&lt;&gt;"")</formula>
    </cfRule>
    <cfRule type="expression" dxfId="60" priority="69">
      <formula>$B14&lt;&gt;""</formula>
    </cfRule>
  </conditionalFormatting>
  <conditionalFormatting sqref="A14:BX57">
    <cfRule type="expression" dxfId="59" priority="3">
      <formula>$B$14&lt;&gt;""</formula>
    </cfRule>
  </conditionalFormatting>
  <conditionalFormatting sqref="C14:C57">
    <cfRule type="dataBar" priority="93">
      <dataBar>
        <cfvo type="min"/>
        <cfvo type="max"/>
        <color rgb="FF66FFFF"/>
      </dataBar>
      <extLst>
        <ext xmlns:x14="http://schemas.microsoft.com/office/spreadsheetml/2009/9/main" uri="{B025F937-C7B1-47D3-B67F-A62EFF666E3E}">
          <x14:id>{8DFD1D6D-8F3C-453E-B7B8-6DAA1647AE28}</x14:id>
        </ext>
      </extLst>
    </cfRule>
  </conditionalFormatting>
  <conditionalFormatting sqref="E14:E57">
    <cfRule type="expression" dxfId="58" priority="4">
      <formula>AND($Z$6=F14,F14&lt;&gt;0,F14&lt;&gt;"")</formula>
    </cfRule>
    <cfRule type="expression" dxfId="57" priority="5">
      <formula>D14=11</formula>
    </cfRule>
    <cfRule type="expression" dxfId="56" priority="6">
      <formula>D14=10</formula>
    </cfRule>
    <cfRule type="expression" dxfId="55" priority="7">
      <formula>D14=9</formula>
    </cfRule>
    <cfRule type="expression" dxfId="54" priority="8">
      <formula>D14=8</formula>
    </cfRule>
    <cfRule type="expression" dxfId="53" priority="14">
      <formula>D14=7</formula>
    </cfRule>
    <cfRule type="expression" dxfId="52" priority="19">
      <formula>D14=6</formula>
    </cfRule>
    <cfRule type="expression" dxfId="51" priority="20">
      <formula>D14=5</formula>
    </cfRule>
    <cfRule type="expression" dxfId="50" priority="21">
      <formula>D14=4</formula>
    </cfRule>
    <cfRule type="expression" dxfId="49" priority="22">
      <formula>D14 = 3</formula>
    </cfRule>
    <cfRule type="expression" dxfId="48" priority="23">
      <formula>D14 = 2</formula>
    </cfRule>
    <cfRule type="expression" dxfId="47" priority="24">
      <formula>D14 = 1</formula>
    </cfRule>
  </conditionalFormatting>
  <conditionalFormatting sqref="Q8:BX8">
    <cfRule type="expression" dxfId="46" priority="29">
      <formula>MOD(MONTH(Q9),2) = 0</formula>
    </cfRule>
  </conditionalFormatting>
  <conditionalFormatting sqref="Q9:BX11">
    <cfRule type="expression" dxfId="45" priority="12" stopIfTrue="1">
      <formula>$CC$1</formula>
    </cfRule>
  </conditionalFormatting>
  <conditionalFormatting sqref="Q9:BX12 Q13 V13 AA13 AF13 AK13 AP13 AU13 AZ13 BE13 BJ13 BO13 BT13 Q14:BX57">
    <cfRule type="expression" dxfId="44" priority="2">
      <formula>Q$12="V"</formula>
    </cfRule>
  </conditionalFormatting>
  <conditionalFormatting sqref="Q14:BX57">
    <cfRule type="expression" dxfId="43" priority="10">
      <formula>AND($G14&lt;=Q$9, $H14&gt;=Q$9, $Z$6=$F14, $F14&lt;&gt;0, $F14&lt;&gt;"")</formula>
    </cfRule>
    <cfRule type="expression" dxfId="42" priority="11">
      <formula>AND($L14&lt;=Q$9, $M14&gt;=Q$9)</formula>
    </cfRule>
    <cfRule type="expression" dxfId="37" priority="72">
      <formula>AND($G14&lt;=Q$9,$H14&gt;=Q$9)</formula>
    </cfRule>
    <cfRule type="expression" dxfId="36" priority="73">
      <formula>AND(Q$9=TODAY(), Q$12="V")</formula>
    </cfRule>
    <cfRule type="expression" dxfId="35" priority="74">
      <formula>AND(Q$9=TODAY(), Q$12&lt;&gt;"V")</formula>
    </cfRule>
  </conditionalFormatting>
  <conditionalFormatting sqref="AM24">
    <cfRule type="expression" dxfId="34" priority="9">
      <formula>AND(Q$9=TODAY(), Q$12="V")</formula>
    </cfRule>
  </conditionalFormatting>
  <conditionalFormatting sqref="BO4">
    <cfRule type="colorScale" priority="43">
      <colorScale>
        <cfvo type="min"/>
        <cfvo type="max"/>
        <color theme="0"/>
        <color rgb="FF000099"/>
      </colorScale>
    </cfRule>
  </conditionalFormatting>
  <conditionalFormatting sqref="I14:I57">
    <cfRule type="expression" dxfId="33" priority="1">
      <formula>I14 &lt;&gt; ""</formula>
    </cfRule>
  </conditionalFormatting>
  <dataValidations count="14">
    <dataValidation type="date" allowBlank="1" showInputMessage="1" showErrorMessage="1" errorTitle="entrez une date" sqref="N14:N23" xr:uid="{951DAB39-709B-4E12-91C3-A23129CEDC32}">
      <formula1>P8</formula1>
      <formula2>P8+1000</formula2>
    </dataValidation>
    <dataValidation type="date" allowBlank="1" showInputMessage="1" showErrorMessage="1" sqref="G8:I8" xr:uid="{2E3C73FE-153B-497F-88C9-DC69E382CB89}">
      <formula1>43831</formula1>
      <formula2>51501</formula2>
    </dataValidation>
    <dataValidation type="date" allowBlank="1" showInputMessage="1" showErrorMessage="1" errorTitle="entrez une date" sqref="N33" xr:uid="{41044EAB-868E-437E-864B-ED53E6189131}">
      <formula1>P22</formula1>
      <formula2>P22+1000</formula2>
    </dataValidation>
    <dataValidation type="date" allowBlank="1" showInputMessage="1" showErrorMessage="1" errorTitle="entrez une date" sqref="N24:N25" xr:uid="{EEB3D7FF-5844-4D67-A98B-519075D40E93}">
      <formula1>P17</formula1>
      <formula2>P17+1000</formula2>
    </dataValidation>
    <dataValidation type="date" allowBlank="1" showInputMessage="1" showErrorMessage="1" errorTitle="entrez une date" sqref="N30:N32 N34" xr:uid="{AF4C3FD8-2485-41BB-BEBD-C50B7C26CB8A}">
      <formula1>P20</formula1>
      <formula2>P20+1000</formula2>
    </dataValidation>
    <dataValidation type="date" allowBlank="1" showInputMessage="1" showErrorMessage="1" errorTitle="entrez une date" sqref="N26:N29 N38:N43" xr:uid="{D27569AE-5141-4A55-B5EF-4C2FA305D491}">
      <formula1>P18</formula1>
      <formula2>P18+1000</formula2>
    </dataValidation>
    <dataValidation type="date" allowBlank="1" showInputMessage="1" showErrorMessage="1" sqref="L14:M57 G14:H57 J14:J57" xr:uid="{42E20B51-5FBC-42CC-AE6E-01E0727BFA72}">
      <formula1>$H$8</formula1>
      <formula2>$H$8+1000</formula2>
    </dataValidation>
    <dataValidation type="date" allowBlank="1" showInputMessage="1" showErrorMessage="1" errorTitle="entrez une date" sqref="N53:N54" xr:uid="{4A7DB8CB-4EB4-4DA5-A177-34D85667D7D3}">
      <formula1>P27</formula1>
      <formula2>P27+1000</formula2>
    </dataValidation>
    <dataValidation type="date" allowBlank="1" showInputMessage="1" showErrorMessage="1" errorTitle="entrez une date" sqref="N55:N57 N52" xr:uid="{53BD962A-0BA9-4343-BDAD-976C5BC107DE}">
      <formula1>P30</formula1>
      <formula2>P30+1000</formula2>
    </dataValidation>
    <dataValidation type="date" allowBlank="1" showInputMessage="1" showErrorMessage="1" errorTitle="entrez une date" sqref="N35:N37" xr:uid="{04178DA1-5F55-460A-9E9F-652D11E7C6FC}">
      <formula1>P26</formula1>
      <formula2>P26+1000</formula2>
    </dataValidation>
    <dataValidation type="date" allowBlank="1" showInputMessage="1" showErrorMessage="1" errorTitle="entrez une date" sqref="N51" xr:uid="{F69CF673-DF58-44E0-A648-14AC50C58F0B}">
      <formula1>P28</formula1>
      <formula2>P28+1000</formula2>
    </dataValidation>
    <dataValidation type="date" allowBlank="1" showInputMessage="1" showErrorMessage="1" errorTitle="entrez une date" sqref="N44:N45" xr:uid="{A0CC8EB2-FF17-473D-B6E9-1C4A65ABCCCE}">
      <formula1>P27</formula1>
      <formula2>P27+1000</formula2>
    </dataValidation>
    <dataValidation type="date" allowBlank="1" showInputMessage="1" showErrorMessage="1" errorTitle="entrez une date" sqref="N46:N50" xr:uid="{35CD6E2D-0A16-499E-88E8-A711153F7BCE}">
      <formula1>P30</formula1>
      <formula2>P30+1000</formula2>
    </dataValidation>
    <dataValidation type="time" allowBlank="1" showInputMessage="1" showErrorMessage="1" sqref="I14:I57" xr:uid="{315464C8-972A-476E-B5F7-DE4D6E33D78F}">
      <formula1>0</formula1>
      <formula2>0.999305555555556</formula2>
    </dataValidation>
  </dataValidations>
  <pageMargins left="0.70866141732283472" right="0.70866141732283472" top="0.74803149606299213" bottom="0.74803149606299213" header="0.31496062992125984" footer="0.31496062992125984"/>
  <pageSetup paperSize="17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Scroll Bar 1">
              <controlPr defaultSize="0" autoPict="0">
                <anchor moveWithCells="1">
                  <from>
                    <xdr:col>72</xdr:col>
                    <xdr:colOff>66675</xdr:colOff>
                    <xdr:row>5</xdr:row>
                    <xdr:rowOff>0</xdr:rowOff>
                  </from>
                  <to>
                    <xdr:col>75</xdr:col>
                    <xdr:colOff>47625</xdr:colOff>
                    <xdr:row>5</xdr:row>
                    <xdr:rowOff>266700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5" id="{54CE8C67-0ED7-4072-AC94-435EE6955B96}">
            <xm:f>AND('Parametre Gantt'!$A$6&lt;&gt;0,'Parametre Gantt'!$A$6&lt;&gt;"",ISNUMBER(FIND(LOWER('Parametre Gantt'!$A$6), LOWER($B14))))</xm:f>
            <x14:dxf>
              <font>
                <color theme="1"/>
              </font>
              <fill>
                <patternFill>
                  <bgColor rgb="FFFFFF00"/>
                </patternFill>
              </fill>
            </x14:dxf>
          </x14:cfRule>
          <x14:cfRule type="expression" priority="66" id="{6E0C92F5-884C-463D-8B97-766C8C21D033}">
            <xm:f>AND('Parametre Gantt'!$A$5&lt;&gt;0,'Parametre Gantt'!$A$5&lt;&gt;"",ISNUMBER(FIND(LOWER('Parametre Gantt'!$A$5), LOWER($B14))))</xm:f>
            <x14:dxf>
              <fill>
                <patternFill>
                  <bgColor rgb="FF66FF66"/>
                </patternFill>
              </fill>
            </x14:dxf>
          </x14:cfRule>
          <x14:cfRule type="expression" priority="67" id="{4781A296-E8D9-4FB4-AD2A-DEADF9FAD0F7}">
            <xm:f>AND('Parametre Gantt'!$A$4&lt;&gt;0,'Parametre Gantt'!$A$4&lt;&gt;"",ISNUMBER(FIND(LOWER('Parametre Gantt'!$A$4), LOWER($B14))))</xm:f>
            <x14:dxf>
              <fill>
                <patternFill>
                  <bgColor rgb="FFFF0000"/>
                </patternFill>
              </fill>
            </x14:dxf>
          </x14:cfRule>
          <x14:cfRule type="expression" priority="68" id="{E8AE4B9A-A1DE-4563-9B1A-7E853AB9A97B}">
            <xm:f>AND('Parametre Gantt'!$A$3&lt;&gt;0,'Parametre Gantt'!$A$3&lt;&gt;"",ISNUMBER(FIND(LOWER('Parametre Gantt'!$A$3), LOWER($B14))))</xm:f>
            <x14:dxf>
              <fill>
                <patternFill>
                  <bgColor rgb="FF7030A0"/>
                </patternFill>
              </fill>
            </x14:dxf>
          </x14:cfRule>
          <xm:sqref>A14:A57</xm:sqref>
        </x14:conditionalFormatting>
        <x14:conditionalFormatting xmlns:xm="http://schemas.microsoft.com/office/excel/2006/main">
          <x14:cfRule type="dataBar" id="{8DFD1D6D-8F3C-453E-B7B8-6DAA1647AE28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C14:C57</xm:sqref>
        </x14:conditionalFormatting>
        <x14:conditionalFormatting xmlns:xm="http://schemas.microsoft.com/office/excel/2006/main">
          <x14:cfRule type="expression" priority="16" id="{34AC648E-AAAD-4D13-B3DB-8F9FFD09E946}">
            <xm:f>AND('Parametre Gantt'!$A$6&lt;&gt;0,'Parametre Gantt'!$A$6&lt;&gt;"",AND($G14&lt;=Q$9, $H14&gt;=Q$9, ISNUMBER(FIND(LOWER('Parametre Gantt'!$A$6), LOWER($B14)))))</xm:f>
            <x14:dxf>
              <fill>
                <patternFill>
                  <bgColor rgb="FFFEFE00"/>
                </patternFill>
              </fill>
            </x14:dxf>
          </x14:cfRule>
          <x14:cfRule type="expression" priority="45" id="{00000000-000E-0000-0000-000004000000}">
            <xm:f>AND('Parametre Gantt'!$A$3&lt;&gt;0,'Parametre Gantt'!$A$3&lt;&gt;"",AND($G14&lt;=Q$9, $H14&gt;=Q$9, ISNUMBER(FIND(LOWER('Parametre Gantt'!$A$3), LOWER($B14)))))</xm:f>
            <x14:dxf>
              <fill>
                <patternFill>
                  <bgColor rgb="FF7030A0"/>
                </patternFill>
              </fill>
              <border>
                <left/>
                <right/>
                <top/>
                <bottom/>
              </border>
            </x14:dxf>
          </x14:cfRule>
          <x14:cfRule type="expression" priority="70" id="{05D38978-C4C0-4011-97B7-B37C8BE247CF}">
            <xm:f>AND('Parametre Gantt'!$A$4&lt;&gt;0,'Parametre Gantt'!$A$4&lt;&gt;"",AND($G14&lt;=Q$9, $H14&gt;=Q$9, ISNUMBER(FIND(LOWER('Parametre Gantt'!$A$4), LOWER($B14)))))</xm:f>
            <x14:dxf>
              <fill>
                <patternFill>
                  <bgColor rgb="FFFF0000"/>
                </patternFill>
              </fill>
            </x14:dxf>
          </x14:cfRule>
          <x14:cfRule type="expression" priority="71" id="{F0C387A0-16C8-41AE-913B-7ED23BE68770}">
            <xm:f>AND('Parametre Gantt'!$A$5&lt;&gt;0,'Parametre Gantt'!$A$5&lt;&gt;"",AND($G14&lt;=Q$9, $H14&gt;=Q$9, ISNUMBER(FIND(LOWER('Parametre Gantt'!$A$5), LOWER($B14)))))</xm:f>
            <x14:dxf>
              <fill>
                <patternFill>
                  <bgColor rgb="FF66FF66"/>
                </patternFill>
              </fill>
            </x14:dxf>
          </x14:cfRule>
          <xm:sqref>Q14:BX57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D22A707E-0066-42C8-9943-E507CB91AB1D}">
          <x14:formula1>
            <xm:f>'Parametre Gantt'!$B$3:$B$9</xm:f>
          </x14:formula1>
          <xm:sqref>Z5:AC5</xm:sqref>
        </x14:dataValidation>
        <x14:dataValidation type="list" allowBlank="1" showInputMessage="1" showErrorMessage="1" xr:uid="{C60B3613-D78C-44EF-95F6-1D324DEDE158}">
          <x14:formula1>
            <xm:f>'Parametre Gantt'!$H$3:$H$13</xm:f>
          </x14:formula1>
          <xm:sqref>Z6:AD6</xm:sqref>
        </x14:dataValidation>
        <x14:dataValidation type="list" allowBlank="1" showInputMessage="1" showErrorMessage="1" xr:uid="{EB4505C7-E88F-49DF-B322-DBCD5E4A7C6D}">
          <x14:formula1>
            <xm:f>'Parametre Gantt'!$G$3:$G$13</xm:f>
          </x14:formula1>
          <xm:sqref>E14:E57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FFD5A1-AF1D-486B-811B-3B8E6A7F9386}">
  <sheetPr codeName="Feuil21">
    <tabColor theme="8"/>
  </sheetPr>
  <dimension ref="A2:I13"/>
  <sheetViews>
    <sheetView workbookViewId="0">
      <selection activeCell="G9" sqref="G9"/>
    </sheetView>
  </sheetViews>
  <sheetFormatPr baseColWidth="10" defaultRowHeight="15" x14ac:dyDescent="0.25"/>
  <cols>
    <col min="3" max="3" width="16.140625" customWidth="1"/>
    <col min="5" max="5" width="15.28515625" customWidth="1"/>
    <col min="6" max="6" width="13.7109375" customWidth="1"/>
    <col min="7" max="7" width="17.5703125" customWidth="1"/>
    <col min="8" max="8" width="13.140625" customWidth="1"/>
  </cols>
  <sheetData>
    <row r="2" spans="1:9" x14ac:dyDescent="0.25">
      <c r="B2" s="9" t="s">
        <v>27</v>
      </c>
      <c r="C2" s="9" t="s">
        <v>25</v>
      </c>
      <c r="F2" s="9" t="s">
        <v>11</v>
      </c>
      <c r="G2" s="9" t="s">
        <v>10</v>
      </c>
      <c r="H2" s="9" t="s">
        <v>12</v>
      </c>
      <c r="I2" s="9" t="s">
        <v>13</v>
      </c>
    </row>
    <row r="3" spans="1:9" x14ac:dyDescent="0.25">
      <c r="A3" t="str">
        <f>IF(AND(Gantt!$Z$5=B3,Gantt!$AD$5&lt;&gt;""),Gantt!$AD$5,'Parametre Gantt'!C3)</f>
        <v>ELEC</v>
      </c>
      <c r="B3" s="60" t="s">
        <v>19</v>
      </c>
      <c r="C3" s="9" t="s">
        <v>30</v>
      </c>
      <c r="F3" s="9">
        <v>1</v>
      </c>
      <c r="G3" s="9" t="s">
        <v>28</v>
      </c>
      <c r="H3" s="9"/>
      <c r="I3" s="9"/>
    </row>
    <row r="4" spans="1:9" x14ac:dyDescent="0.25">
      <c r="A4" t="str">
        <f>IF(AND(Gantt!$Z$5=B4,Gantt!$AD$5&lt;&gt;""),Gantt!$AD$5,'Parametre Gantt'!C4)</f>
        <v>MECA</v>
      </c>
      <c r="B4" s="61" t="s">
        <v>20</v>
      </c>
      <c r="C4" s="9" t="s">
        <v>31</v>
      </c>
      <c r="F4" s="9">
        <v>2</v>
      </c>
      <c r="G4" s="9" t="s">
        <v>29</v>
      </c>
      <c r="H4" s="9"/>
      <c r="I4" s="9"/>
    </row>
    <row r="5" spans="1:9" x14ac:dyDescent="0.25">
      <c r="A5" t="str">
        <f>IF(AND(Gantt!$Z$5=B5,Gantt!$AD$5&lt;&gt;""),Gantt!$AD$5,'Parametre Gantt'!C5)</f>
        <v>AUTO</v>
      </c>
      <c r="B5" s="62" t="s">
        <v>21</v>
      </c>
      <c r="C5" s="9" t="s">
        <v>32</v>
      </c>
      <c r="F5" s="9">
        <v>3</v>
      </c>
      <c r="G5" s="9" t="s">
        <v>36</v>
      </c>
      <c r="H5" s="9"/>
      <c r="I5" s="9"/>
    </row>
    <row r="6" spans="1:9" x14ac:dyDescent="0.25">
      <c r="A6">
        <f>IF(AND(Gantt!$Z$5=B6,Gantt!$AD$5&lt;&gt;""),Gantt!$AD$5,'Parametre Gantt'!C6)</f>
        <v>0</v>
      </c>
      <c r="B6" s="63" t="s">
        <v>24</v>
      </c>
      <c r="C6" s="9"/>
      <c r="F6" s="9">
        <v>4</v>
      </c>
      <c r="G6" s="9" t="s">
        <v>37</v>
      </c>
      <c r="H6" s="9"/>
      <c r="I6" s="9"/>
    </row>
    <row r="7" spans="1:9" x14ac:dyDescent="0.25">
      <c r="F7" s="9">
        <v>5</v>
      </c>
      <c r="G7" s="9" t="s">
        <v>38</v>
      </c>
      <c r="H7" s="9"/>
      <c r="I7" s="9"/>
    </row>
    <row r="8" spans="1:9" x14ac:dyDescent="0.25">
      <c r="F8" s="9">
        <v>6</v>
      </c>
      <c r="G8" s="9" t="s">
        <v>39</v>
      </c>
      <c r="H8" s="9"/>
      <c r="I8" s="9"/>
    </row>
    <row r="9" spans="1:9" x14ac:dyDescent="0.25">
      <c r="F9" s="9">
        <v>7</v>
      </c>
      <c r="G9" s="9"/>
      <c r="H9" s="9"/>
      <c r="I9" s="9"/>
    </row>
    <row r="10" spans="1:9" x14ac:dyDescent="0.25">
      <c r="F10" s="9">
        <v>8</v>
      </c>
      <c r="G10" s="9"/>
      <c r="H10" s="9"/>
      <c r="I10" s="9"/>
    </row>
    <row r="11" spans="1:9" x14ac:dyDescent="0.25">
      <c r="F11" s="9">
        <v>9</v>
      </c>
      <c r="G11" s="9"/>
      <c r="H11" s="9"/>
      <c r="I11" s="9"/>
    </row>
    <row r="12" spans="1:9" x14ac:dyDescent="0.25">
      <c r="F12" s="9">
        <v>10</v>
      </c>
      <c r="G12" s="9"/>
      <c r="H12" s="9"/>
      <c r="I12" s="9"/>
    </row>
    <row r="13" spans="1:9" x14ac:dyDescent="0.25">
      <c r="F13" s="9">
        <v>11</v>
      </c>
      <c r="G13" s="9"/>
      <c r="H13" s="9"/>
      <c r="I13" s="9"/>
    </row>
  </sheetData>
  <dataValidations count="1">
    <dataValidation type="list" allowBlank="1" showInputMessage="1" showErrorMessage="1" sqref="G3:G7" xr:uid="{7D4FAFFB-BF50-443F-881D-C48313C87539}">
      <formula1>$G$3:$G$7</formula1>
    </dataValidation>
  </dataValidations>
  <pageMargins left="0.7" right="0.7" top="0.75" bottom="0.75" header="0.3" footer="0.3"/>
  <pageSetup paperSize="9" orientation="portrait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2</vt:i4>
      </vt:variant>
      <vt:variant>
        <vt:lpstr>Plages nommées</vt:lpstr>
      </vt:variant>
      <vt:variant>
        <vt:i4>1</vt:i4>
      </vt:variant>
    </vt:vector>
  </HeadingPairs>
  <TitlesOfParts>
    <vt:vector size="3" baseType="lpstr">
      <vt:lpstr>Gantt</vt:lpstr>
      <vt:lpstr>Parametre Gantt</vt:lpstr>
      <vt:lpstr>Gantt!Zone_d_impression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Yann COJAN</dc:creator>
  <cp:lastModifiedBy>antoine cojan</cp:lastModifiedBy>
  <cp:lastPrinted>2024-01-19T14:21:44Z</cp:lastPrinted>
  <dcterms:created xsi:type="dcterms:W3CDTF">2023-11-24T13:18:15Z</dcterms:created>
  <dcterms:modified xsi:type="dcterms:W3CDTF">2024-10-04T09:17:47Z</dcterms:modified>
</cp:coreProperties>
</file>